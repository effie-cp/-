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1-2. 계약형 7사" sheetId="2" state="visible" r:id="rId4"/>
    <sheet name="2. 비전속 제도" sheetId="3" state="visible" r:id="rId5"/>
    <sheet name="3. 정산 단가" sheetId="4" state="visible" r:id="rId6"/>
    <sheet name="4. 등급표" sheetId="5" state="visible" r:id="rId7"/>
    <sheet name="5. 출처·미확인" sheetId="6" state="visible" r:id="rId8"/>
    <sheet name="6. 시사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<sst xmlns="http://schemas.openxmlformats.org/spreadsheetml/2006/main" count="2799" uniqueCount="1624">
  <si>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</si>
  <si>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</si>
  <si>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</si>
  <si>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</si>
  <si>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</si>
  <si>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</si>
  <si>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</si>
  <si>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</si>
  <si>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</si>
  <si>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</si>
  <si>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</si>
  <si>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</si>
  <si>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</si>
  <si>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</si>
  <si>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</si>
  <si>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</si>
  <si>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</si>
  <si>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</si>
  <si>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</si>
  <si>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</si>
  <si>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</si>
  <si>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</si>
  <si>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멜팅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</si>
  <si>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</si>
  <si>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</si>
  <si>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</si>
  <si>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</si>
  <si>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공식 계약 크리에이터</t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</si>
  <si>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</si>
  <si>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</si>
  <si>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</si>
  <si>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</si>
  <si>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</si>
  <si>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</si>
  <si>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</si>
  <si>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</si>
  <si>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</si>
  <si>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</si>
  <si>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</si>
  <si>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</si>
  <si>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앰배서더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그 아래 파트너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</si>
  <si>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</si>
  <si>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</si>
  <si>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</si>
  <si>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</si>
  <si>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독점 요구 및 독점 방식에 대한 요구가 없다고 문서에 명시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</si>
  <si>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</si>
  <si>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</si>
  <si>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</si>
  <si>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</si>
  <si>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</si>
  <si>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</si>
  <si>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</si>
  <si>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미확인 — 계약 내용 비공개</t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</si>
  <si>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</si>
  <si>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</si>
  <si>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</si>
  <si>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</si>
  <si>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</si>
  <si>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</si>
  <si>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</si>
  <si>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</si>
  <si>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</si>
  <si>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</si>
  <si>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</si>
  <si>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r>
      <rPr>
        <sz val="10"/>
        <rFont val="WenQuanYi Zen Hei"/>
        <family val="2"/>
      </rPr>
      <t xml:space="preserve">멜팅이 함께 성장할 크리에이터에게 직접 제안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협의를 통해 선정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초대제</t>
    </r>
    <r>
      <rPr>
        <sz val="10"/>
        <rFont val="맑은 고딕"/>
        <family val="0"/>
        <charset val="1"/>
      </rPr>
      <t xml:space="preserve">)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</si>
  <si>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</si>
  <si>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</si>
  <si>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</si>
  <si>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</si>
  <si>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</si>
  <si>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</si>
  <si>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</si>
  <si>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</si>
  <si>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 캐릭터 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회
골드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30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만 회
플래티넘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+ R ONLY 40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 회</t>
    </r>
  </si>
  <si>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사실상 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제재 이력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거친 이후 단계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</si>
  <si>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</si>
  <si>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</si>
  <si>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</si>
  <si>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</si>
  <si>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</si>
  <si>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</si>
  <si>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</si>
  <si>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개별 협의 → 파트너십 계약 체결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</si>
  <si>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</si>
  <si>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</si>
  <si>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</si>
  <si>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</si>
  <si>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</si>
  <si>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</si>
  <si>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</si>
  <si>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</si>
  <si>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</si>
  <si>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WenQuanYi Zen Hei"/>
        <family val="2"/>
      </rPr>
      <t xml:space="preserve">해당 없음 — 계약에 독점 조건이 붙지 않음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커뮤니티에서 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콘텐츠 검열이 거의 없다는 뜻이며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 조건 자체가 없다는 의미가 아님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</si>
  <si>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</si>
  <si>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</si>
  <si>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</si>
  <si>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</si>
  <si>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</si>
  <si>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</si>
  <si>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</si>
  <si>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</si>
  <si>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</si>
  <si>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</si>
  <si>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</si>
  <si>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</si>
  <si>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</si>
  <si>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</si>
  <si>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</si>
  <si>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어려움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</si>
  <si>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</si>
  <si>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</si>
  <si>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</si>
  <si>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</si>
  <si>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</si>
  <si>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</si>
  <si>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</si>
  <si>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</si>
  <si>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</si>
  <si>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 적용 인센티브 — 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(</t>
    </r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R ONLY 30% </t>
    </r>
    <r>
      <rPr>
        <sz val="10"/>
        <rFont val="WenQuanYi Zen Hei"/>
        <family val="2"/>
      </rPr>
      <t xml:space="preserve">대비 상향</t>
    </r>
    <r>
      <rPr>
        <sz val="10"/>
        <rFont val="맑은 고딕"/>
        <family val="0"/>
        <charset val="1"/>
      </rPr>
      <t xml:space="preserve">).
※ </t>
    </r>
    <r>
      <rPr>
        <sz val="10"/>
        <rFont val="WenQuanYi Zen Hei"/>
        <family val="2"/>
      </rPr>
      <t xml:space="preserve">제보 기준 실질 현금 회수율은 </t>
    </r>
    <r>
      <rPr>
        <sz val="10"/>
        <rFont val="맑은 고딕"/>
        <family val="0"/>
        <charset val="1"/>
      </rPr>
      <t xml:space="preserve">2.84% / 3.20% / 3.56%</t>
    </r>
    <r>
      <rPr>
        <sz val="10"/>
        <rFont val="WenQuanYi Zen Hei"/>
        <family val="2"/>
      </rPr>
      <t xml:space="preserve">로 추정됨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
※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에 대한 등급 가산 여부는 미확인</t>
    </r>
  </si>
  <si>
    <r>
      <rPr>
        <sz val="10"/>
        <rFont val="WenQuanYi Zen Hei"/>
        <family val="2"/>
      </rPr>
      <t xml:space="preserve">미공개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크리에이터의 혜택을 모두 포함하며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혜택은 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</si>
  <si>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</si>
  <si>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</si>
  <si>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</si>
  <si>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</si>
  <si>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</si>
  <si>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</si>
  <si>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</si>
  <si>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</si>
  <si>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</si>
  <si>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</si>
  <si>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</si>
  <si>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</si>
  <si>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</si>
  <si>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sz val="10"/>
        <rFont val="WenQuanYi Zen Hei"/>
        <family val="2"/>
      </rPr>
      <t xml:space="preserve">파트너 혜택 포함 — 전 캐릭터 피처드 승급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메인 피처드 전용 영역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서비스 내외 광고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퀴즈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배너</t>
    </r>
    <r>
      <rPr>
        <sz val="10"/>
        <rFont val="맑은 고딕"/>
        <family val="0"/>
        <charset val="1"/>
      </rPr>
      <t xml:space="preserve">·X·</t>
    </r>
    <r>
      <rPr>
        <sz val="10"/>
        <rFont val="WenQuanYi Zen Hei"/>
        <family val="2"/>
      </rPr>
      <t xml:space="preserve">인스타그램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</si>
  <si>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</si>
  <si>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</si>
  <si>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</si>
  <si>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</si>
  <si>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</si>
  <si>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</si>
  <si>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</si>
  <si>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</si>
  <si>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r>
      <rPr>
        <sz val="10"/>
        <rFont val="WenQuanYi Zen Hei"/>
        <family val="2"/>
      </rPr>
      <t xml:space="preserve">파트너 혜택 포함 — 크리에이터 대시보드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전용 상담 채널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</si>
  <si>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</si>
  <si>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</si>
  <si>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</si>
  <si>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</si>
  <si>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</si>
  <si>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</si>
  <si>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r>
      <rPr>
        <sz val="10"/>
        <rFont val="WenQuanYi Zen Hei"/>
        <family val="2"/>
      </rPr>
      <t xml:space="preserve">라이징 캐릭터는 다국어 번역되어 글로벌 서비스에 등록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신청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캐릭터의 글로벌 서비스 제공에 관한 사항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동의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</si>
  <si>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</si>
  <si>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</si>
  <si>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</si>
  <si>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</si>
  <si>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r>
      <rPr>
        <sz val="10"/>
        <rFont val="WenQuanYi Zen Hei"/>
        <family val="2"/>
      </rPr>
      <t xml:space="preserve">파트너 단계 의무가 전제 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</si>
  <si>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</si>
  <si>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</si>
  <si>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</si>
  <si>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</si>
  <si>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</si>
  <si>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</si>
  <si>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</si>
  <si>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sz val="10"/>
        <rFont val="WenQuanYi Zen Hei"/>
        <family val="2"/>
      </rPr>
      <t xml:space="preserve">의무 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 시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중대 위반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전부 박탈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출금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 포인트는 소멸하지 않으나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</si>
  <si>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</si>
  <si>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</si>
  <si>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</si>
  <si>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</si>
  <si>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</si>
  <si>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</si>
  <si>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</si>
  <si>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</si>
  <si>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</si>
  <si>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</si>
  <si>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</si>
  <si>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r>
      <rPr>
        <sz val="10"/>
        <rFont val="WenQuanYi Zen Hei"/>
        <family val="2"/>
      </rPr>
      <t xml:space="preserve">관련 법령 또는 서비스 정책 변경에 따라 수정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공지사항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 메뉴로 안내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</si>
  <si>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</si>
  <si>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</si>
  <si>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</si>
  <si>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</si>
  <si>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</si>
  <si>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</si>
  <si>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</si>
  <si>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</si>
  <si>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</si>
  <si>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</si>
  <si>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</si>
  <si>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</si>
  <si>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</si>
  <si>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</si>
  <si>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</si>
  <si>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</si>
  <si>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</si>
  <si>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 일체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</si>
  <si>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</si>
  <si>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</si>
  <si>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</si>
  <si>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</si>
  <si>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</si>
  <si>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</si>
  <si>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</si>
  <si>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</si>
  <si>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계약을 맺는 </t>
    </r>
    <r>
      <rPr>
        <b val="true"/>
        <sz val="14"/>
        <rFont val="맑은 고딕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개 플랫폼 — 계약 관점 비교</t>
    </r>
  </si>
  <si>
    <r>
      <rPr>
        <i val="true"/>
        <sz val="9"/>
        <color rgb="FF595959"/>
        <rFont val="WenQuanYi Zen Hei"/>
        <family val="2"/>
      </rPr>
      <t xml:space="preserve">계약 제도가 존재하고 그 내용이 어느 정도 확인된 </t>
    </r>
    <r>
      <rPr>
        <i val="true"/>
        <sz val="9"/>
        <color rgb="FF595959"/>
        <rFont val="맑은 고딕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곳만 추렸습니다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챗플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페이브챗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멜팅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앰배서더</t>
    </r>
    <r>
      <rPr>
        <i val="true"/>
        <sz val="9"/>
        <color rgb="FF595959"/>
        <rFont val="맑은 고딕"/>
        <family val="0"/>
        <charset val="1"/>
      </rPr>
      <t xml:space="preserve">)·</t>
    </r>
    <r>
      <rPr>
        <i val="true"/>
        <sz val="9"/>
        <color rgb="FF595959"/>
        <rFont val="WenQuanYi Zen Hei"/>
        <family val="2"/>
      </rPr>
      <t xml:space="preserve">로판</t>
    </r>
    <r>
      <rPr>
        <i val="true"/>
        <sz val="9"/>
        <color rgb="FF595959"/>
        <rFont val="맑은 고딕"/>
        <family val="0"/>
        <charset val="1"/>
      </rPr>
      <t xml:space="preserve">AI(</t>
    </r>
    <r>
      <rPr>
        <i val="true"/>
        <sz val="9"/>
        <color rgb="FF595959"/>
        <rFont val="WenQuanYi Zen Hei"/>
        <family val="2"/>
      </rPr>
      <t xml:space="preserve">파트너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도 계약 기반이나 조건이 일체 미공개라 제외했습니다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</si>
  <si>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※ 젠잇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둠칫은 계약 대상이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가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작품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에덴챗은 계약을 맺되 독점을 요구하지 않는 유일한 사례입니다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</si>
  <si>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계약 제도명</t>
  </si>
  <si>
    <r>
      <rPr>
        <sz val="10"/>
        <rFont val="WenQuanYi Zen Hei"/>
        <family val="2"/>
      </rPr>
      <t xml:space="preserve">퍼블리싱 프로그램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→ 집중 → 대작 지원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</si>
  <si>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캐릭터별 독점 전환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</si>
  <si>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 제도 분리</t>
    </r>
    <r>
      <rPr>
        <sz val="10"/>
        <rFont val="맑은 고딕"/>
        <family val="0"/>
        <charset val="1"/>
      </rPr>
      <t xml:space="preserve">)</t>
    </r>
  </si>
  <si>
    <t xml:space="preserve">계약 단위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</si>
  <si>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신규작 독점이 조건</t>
    </r>
    <r>
      <rPr>
        <sz val="10"/>
        <rFont val="맑은 고딕"/>
        <family val="0"/>
        <charset val="1"/>
      </rPr>
      <t xml:space="preserve">)</t>
    </r>
  </si>
  <si>
    <t xml:space="preserve">크리에이터</t>
  </si>
  <si>
    <t xml:space="preserve">작품</t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</si>
  <si>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또는 캐릭터별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</si>
  <si>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오리지널은 작품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</si>
  <si>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전면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</si>
  <si>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작품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</si>
  <si>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선택도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</si>
  <si>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X / 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오리지널만 </t>
    </r>
    <r>
      <rPr>
        <sz val="10"/>
        <rFont val="맑은 고딕"/>
        <family val="0"/>
        <charset val="1"/>
      </rPr>
      <t xml:space="preserve">O</t>
    </r>
  </si>
  <si>
    <r>
      <rPr>
        <sz val="10"/>
        <rFont val="WenQuanYi Zen Hei"/>
        <family val="2"/>
      </rPr>
      <t xml:space="preserve">신규 공개 캐릭터는 전부 오리지널로만 업로드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플랫폼 업로드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이전 캐릭터의 전환은 선택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타 플랫폼 활동 자체는 허용하되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함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</si>
  <si>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</si>
  <si>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타 서비스에 올렸던 작품을 내려서 요건을 맞추는 것은 명시적으로 불인정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</si>
  <si>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캐릭터별 전환 시에는 해당 캐릭터만 경쟁 서비스 신규 등록 불가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</si>
  <si>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3</t>
    </r>
    <r>
      <rPr>
        <sz val="10"/>
        <rFont val="WenQuanYi Zen Hei"/>
        <family val="2"/>
      </rPr>
      <t xml:space="preserve">개월간 해당 월드를 둠칫에서만 공개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 시 독점 조건 협의</t>
    </r>
  </si>
  <si>
    <r>
      <rPr>
        <sz val="10"/>
        <rFont val="WenQuanYi Zen Hei"/>
        <family val="2"/>
      </rPr>
      <t xml:space="preserve">영구 — 공식 크리에이터의 오리지널은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</si>
  <si>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미확인</t>
    </r>
  </si>
  <si>
    <t xml:space="preserve">체결 방식</t>
  </si>
  <si>
    <r>
      <rPr>
        <sz val="10"/>
        <rFont val="WenQuanYi Zen Hei"/>
        <family val="2"/>
      </rPr>
      <t xml:space="preserve">상시 공개 신청 → 관리자 검수 →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통보</t>
    </r>
  </si>
  <si>
    <r>
      <rPr>
        <sz val="10"/>
        <rFont val="WenQuanYi Zen Hei"/>
        <family val="2"/>
      </rPr>
      <t xml:space="preserve">초대 전용 — 상시 발굴 → 개별 연락 → 협의 → 계약 체결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폼 없음</t>
    </r>
  </si>
  <si>
    <r>
      <rPr>
        <sz val="10"/>
        <rFont val="WenQuanYi Zen Hei"/>
        <family val="2"/>
      </rPr>
      <t xml:space="preserve">공개 모집 — 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</si>
  <si>
    <r>
      <rPr>
        <sz val="10"/>
        <rFont val="WenQuanYi Zen Hei"/>
        <family val="2"/>
      </rPr>
      <t xml:space="preserve">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제안 가능</t>
    </r>
  </si>
  <si>
    <r>
      <rPr>
        <sz val="10"/>
        <rFont val="WenQuanYi Zen Hei"/>
        <family val="2"/>
      </rPr>
      <t xml:space="preserve">셀프 신청 → 운영진 확인 →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전자서명 시 활성화</t>
    </r>
  </si>
  <si>
    <r>
      <rPr>
        <sz val="10"/>
        <rFont val="WenQuanYi Zen Hei"/>
        <family val="2"/>
      </rPr>
      <t xml:space="preserve">셀프 신청 불가 — 오리지널 계약 체결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콘테스트 수상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운영팀 추천</t>
    </r>
  </si>
  <si>
    <t xml:space="preserve">진입 조건</t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</si>
  <si>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 무관 후보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정성 평가 — 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</t>
    </r>
  </si>
  <si>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이상급 대규모 시뮬레이션 또는 대작 가능성
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 주력 활동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안정성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비공개 이력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우대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</si>
  <si>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</si>
  <si>
    <r>
      <rPr>
        <sz val="10"/>
        <rFont val="WenQuanYi Zen Hei"/>
        <family val="2"/>
      </rPr>
      <t xml:space="preserve">정량 기준 없음 — 작품 품질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기여도 종합 판단</t>
    </r>
  </si>
  <si>
    <t xml:space="preserve">계약 형태</t>
  </si>
  <si>
    <r>
      <rPr>
        <sz val="10"/>
        <rFont val="WenQuanYi Zen Hei"/>
        <family val="2"/>
      </rPr>
      <t xml:space="preserve">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계약서 언급 없음</t>
    </r>
    <r>
      <rPr>
        <sz val="10"/>
        <rFont val="맑은 고딕"/>
        <family val="0"/>
        <charset val="1"/>
      </rPr>
      <t xml:space="preserve">)</t>
    </r>
  </si>
  <si>
    <t xml:space="preserve">파트너십 계약</t>
  </si>
  <si>
    <t xml:space="preserve">창작자 계약 — 일반 크리에이터도 첫 매출 발생 시 계약 필요</t>
  </si>
  <si>
    <t xml:space="preserve">별도 계약</t>
  </si>
  <si>
    <r>
      <rPr>
        <sz val="10"/>
        <rFont val="WenQuanYi Zen Hei"/>
        <family val="2"/>
      </rPr>
      <t xml:space="preserve">전자계약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</si>
  <si>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r>
      <rPr>
        <sz val="10"/>
        <rFont val="WenQuanYi Zen Hei"/>
        <family val="2"/>
      </rPr>
      <t xml:space="preserve">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공식 크리에이터는 제안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수락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</si>
  <si>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형태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</si>
  <si>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인센티브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+10%) ·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20%→10% · </t>
    </r>
    <r>
      <rPr>
        <sz val="10"/>
        <rFont val="WenQuanYi Zen Hei"/>
        <family val="2"/>
      </rPr>
      <t xml:space="preserve">최대 출금 한도 상향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</si>
  <si>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 기본 제공 </t>
    </r>
    <r>
      <rPr>
        <sz val="10"/>
        <rFont val="맑은 고딕"/>
        <family val="0"/>
        <charset val="1"/>
      </rPr>
      <t xml:space="preserve">+ α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</si>
  <si>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
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·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</si>
  <si>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리프의 </t>
    </r>
    <r>
      <rPr>
        <sz val="10"/>
        <rFont val="맑은 고딕"/>
        <family val="0"/>
        <charset val="1"/>
      </rPr>
      <t xml:space="preserve">8% → 12% (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6.84% → 10.26%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</si>
  <si>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—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  <r>
      <rPr>
        <sz val="10"/>
        <rFont val="WenQuanYi Zen Hei"/>
        <family val="2"/>
      </rPr>
      <t xml:space="preserve">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</si>
  <si>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미확인 — 제작자별 맞춤형 개별 협의</t>
  </si>
  <si>
    <t xml:space="preserve">정산 우대 공개 여부</t>
  </si>
  <si>
    <t xml:space="preserve">공개</t>
  </si>
  <si>
    <t xml:space="preserve">비공개</t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</si>
  <si>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우대 자체가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</si>
  <si>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—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명시</t>
    </r>
  </si>
  <si>
    <t xml:space="preserve">금전 지원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</si>
  <si>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</si>
  <si>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웰컴키트는 현물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</si>
  <si>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채팅수 달성 지원금은 별도 프로그램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, 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</si>
  <si>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</si>
  <si>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정산</t>
    </r>
  </si>
  <si>
    <t xml:space="preserve">비금전 지원</t>
  </si>
  <si>
    <r>
      <rPr>
        <sz val="10"/>
        <rFont val="WenQuanYi Zen Hei"/>
        <family val="2"/>
      </rPr>
      <t xml:space="preserve">메인 페이지 공식 크리에이터 전용 섹션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 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이미지 재분류 프리 패스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</si>
  <si>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담당자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최우선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</t>
    </r>
  </si>
  <si>
    <r>
      <rPr>
        <sz val="10"/>
        <rFont val="WenQuanYi Zen Hei"/>
        <family val="2"/>
      </rPr>
      <t xml:space="preserve">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협업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수익 쉐어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굿즈 분기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애니메이션 제작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얼리 액세스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웰컴키트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</si>
  <si>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대작 지원 프로그램 연계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믹스 및 스타 크리에이터 브랜딩</t>
    </r>
    <r>
      <rPr>
        <sz val="10"/>
        <rFont val="맑은 고딕"/>
        <family val="0"/>
        <charset val="1"/>
      </rPr>
      <t xml:space="preserve">)</t>
    </r>
  </si>
  <si>
    <t xml:space="preserve">명시 없음 — 정산율 외 별도 혜택이 문서에 없음</t>
  </si>
  <si>
    <r>
      <rPr>
        <sz val="10"/>
        <rFont val="WenQuanYi Zen Hei"/>
        <family val="2"/>
      </rPr>
      <t xml:space="preserve">공식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추천작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운영팀 우선 협업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피드백 우선 반영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담당 매니저 배정</t>
    </r>
  </si>
  <si>
    <r>
      <rPr>
        <sz val="10"/>
        <rFont val="맑은 고딕"/>
        <family val="0"/>
        <charset val="1"/>
      </rPr>
      <t xml:space="preserve">NovelAI·</t>
    </r>
    <r>
      <rPr>
        <sz val="10"/>
        <rFont val="WenQuanYi Zen Hei"/>
        <family val="2"/>
      </rPr>
      <t xml:space="preserve">포토샵 등 구독형 서비스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검열이 거의 없음</t>
    </r>
  </si>
  <si>
    <t xml:space="preserve">유지 의무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</si>
  <si>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 가능</t>
    </r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</si>
  <si>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신청한 캐릭터는 입금받는 달까지 공개 유지 — 지급 시점에 비공개면 해당 몫 반려 후 인센티브로 전액 복원</t>
    </r>
  </si>
  <si>
    <r>
      <rPr>
        <sz val="10"/>
        <rFont val="WenQuanYi Zen Hei"/>
        <family val="2"/>
      </rPr>
      <t xml:space="preserve">공식 크리에이터 취지에 맞는 활동 지속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의무 없음</t>
    </r>
    <r>
      <rPr>
        <sz val="10"/>
        <rFont val="맑은 고딕"/>
        <family val="0"/>
        <charset val="1"/>
      </rPr>
      <t xml:space="preserve">)</t>
    </r>
  </si>
  <si>
    <t xml:space="preserve">① 공식 크리에이터 기간 내 적립된 인센티브 회수
② 크리에이터 활동 일정 기간 제재
③ 자격 박탈 및 추후 신청 시 패널티</t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</si>
  <si>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</si>
  <si>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캐릭터 비공개 전환 시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</si>
  <si>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정책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 공개 또는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보너스분 환수
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</si>
  <si>
    <t xml:space="preserve">환수 조항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</si>
  <si>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기간 내 적립 인센티브 전액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광범위</t>
    </r>
  </si>
  <si>
    <t xml:space="preserve">없음 — 지급 중단만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</si>
  <si>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가장 절제됨</t>
    </r>
  </si>
  <si>
    <t xml:space="preserve">해지 시 적립금 처리</t>
  </si>
  <si>
    <r>
      <rPr>
        <sz val="10"/>
        <rFont val="WenQuanYi Zen Hei"/>
        <family val="2"/>
      </rPr>
      <t xml:space="preserve">위반 시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정상 해지 절차는 명시 없음</t>
    </r>
  </si>
  <si>
    <r>
      <rPr>
        <sz val="10"/>
        <rFont val="WenQuanYi Zen Hei"/>
        <family val="2"/>
      </rPr>
      <t xml:space="preserve">쌓인 인센티브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 계속되고 리프 교환도 가능하며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</si>
  <si>
    <r>
      <rPr>
        <b val="true"/>
        <sz val="10"/>
        <rFont val="맑은 고딕"/>
        <family val="0"/>
        <charset val="1"/>
      </rPr>
      <t xml:space="preserve">IP·</t>
    </r>
    <r>
      <rPr>
        <b val="true"/>
        <sz val="10"/>
        <rFont val="WenQuanYi Zen Hei"/>
        <family val="2"/>
      </rPr>
      <t xml:space="preserve">저작권 처리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</si>
  <si>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우선 협상 및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</si>
  <si>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기반 애니메이션 제작 지원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양도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</si>
  <si>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</si>
  <si>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sz val="10"/>
        <rFont val="WenQuanYi Zen Hei"/>
        <family val="2"/>
      </rPr>
      <t xml:space="preserve">해당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)</t>
    </r>
  </si>
  <si>
    <t xml:space="preserve">본인 요청으로 해제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</si>
  <si>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독점이 아니다 — 에덴챗은 계약을 맺되 독점 요구가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둠칫은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 독점을 걸지 않고 독점을 작품 단위 별도 제도로 분리했다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</si>
  <si>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계약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 곳이 둘 — 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크리에이터를 통째로 묶지 않아 진입 저항이 낮고 플랫폼 리스크도 작다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</si>
  <si>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우대를 숫자로 공개한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에덴챗은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스토리엔진은 우대 자체가 없다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</si>
  <si>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범위는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보너스분만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순으로 절제된다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둠칫 형태가 진입 저항이 가장 낮다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</si>
  <si>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저작권을 사들이는 곳은 둠칫 오리지널뿐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나머지는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사업화 협력 수준에 그친다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</si>
  <si>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체결 방식은 셀프 신청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초대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갈린다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전자계약을 명시한 곳은 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</si>
  <si>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</si>
  <si>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</si>
  <si>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</si>
  <si>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</si>
  <si>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</si>
  <si>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</si>
  <si>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</si>
  <si>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</si>
  <si>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</si>
  <si>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</si>
  <si>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</si>
  <si>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</si>
  <si>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</si>
  <si>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</si>
  <si>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</si>
  <si>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</si>
  <si>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</si>
  <si>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</si>
  <si>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</si>
  <si>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</si>
  <si>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단계 — 창작자 → 크리에이터 → 파트너 크리에이터 → 앰배서더 크리에이터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</si>
  <si>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</si>
  <si>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</si>
  <si>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</si>
  <si>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</si>
  <si>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</si>
  <si>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</si>
  <si>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</si>
  <si>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</si>
  <si>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</si>
  <si>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</si>
  <si>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</si>
  <si>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</si>
  <si>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</si>
  <si>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</si>
  <si>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</si>
  <si>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</si>
  <si>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</si>
  <si>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라이징 캐릭터와 소비한 유료 콘의 </t>
    </r>
    <r>
      <rPr>
        <sz val="10"/>
        <rFont val="맑은 고딕"/>
        <family val="0"/>
        <charset val="1"/>
      </rPr>
      <t xml:space="preserve">1%</t>
    </r>
    <r>
      <rPr>
        <sz val="10"/>
        <rFont val="WenQuanYi Zen Hei"/>
        <family val="2"/>
      </rPr>
      <t xml:space="preserve">를 포인트로 지급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포인트는 콘으로 교환하거나 파트너 단계부터 현금 출금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</si>
  <si>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</si>
  <si>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</si>
  <si>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</si>
  <si>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</si>
  <si>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</si>
  <si>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</si>
  <si>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</si>
  <si>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</si>
  <si>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</si>
  <si>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</si>
  <si>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</si>
  <si>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</si>
  <si>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</si>
  <si>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</si>
  <si>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</si>
  <si>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단 모수가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</t>
    </r>
    <r>
      <rPr>
        <sz val="10"/>
        <rFont val="맑은 고딕"/>
        <family val="0"/>
        <charset val="1"/>
      </rPr>
      <t xml:space="preserve">'.
</t>
    </r>
    <r>
      <rPr>
        <sz val="10"/>
        <rFont val="WenQuanYi Zen Hei"/>
        <family val="2"/>
      </rPr>
      <t xml:space="preserve">고객센터 답변으로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총결제액이 아니라 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뺀 나머지의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</si>
  <si>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</si>
  <si>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2%
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: 1.5% 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 = 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이미지 해금 건당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첫 장면 해금 유료 콘의 </t>
    </r>
    <r>
      <rPr>
        <sz val="10"/>
        <rFont val="맑은 고딕"/>
        <family val="0"/>
        <charset val="1"/>
      </rPr>
      <t xml:space="preserve">25%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</si>
  <si>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</si>
  <si>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</si>
  <si>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</si>
  <si>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</si>
  <si>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</si>
  <si>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</si>
  <si>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</si>
  <si>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</si>
  <si>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</si>
  <si>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</si>
  <si>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</si>
  <si>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</si>
  <si>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</si>
  <si>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추가로 마진율도 미공개라 총결제액 대비 환산이 불가</t>
    </r>
  </si>
  <si>
    <r>
      <rPr>
        <sz val="10"/>
        <rFont val="WenQuanYi Zen Hei"/>
        <family val="2"/>
      </rPr>
      <t xml:space="preserve">제보 기준 — 유저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만포인트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공식 자료로는 미확인</t>
    </r>
  </si>
  <si>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1,800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
150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콘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2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개는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상당으로 계산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</si>
  <si>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</si>
  <si>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</si>
  <si>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</si>
  <si>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</si>
  <si>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</si>
  <si>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</si>
  <si>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</si>
  <si>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</si>
  <si>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</si>
  <si>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</si>
  <si>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</si>
  <si>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</si>
  <si>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</si>
  <si>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가능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별도의 월 출금 한도 없이 보유한 크레딧 범위 내에서 출금 신청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</si>
  <si>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크리에이터 단계는 불가 — 포인트를 콘으로 교환만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크리에이터부터 현금 출금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</si>
  <si>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</si>
  <si>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</si>
  <si>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</si>
  <si>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</si>
  <si>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</si>
  <si>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</si>
  <si>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</si>
  <si>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</si>
  <si>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</si>
  <si>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</si>
  <si>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</si>
  <si>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</si>
  <si>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</si>
  <si>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</si>
  <si>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산출 불가 — 모수가 마진이고 마진율이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참고 추정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10% / 40%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8% /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/ 20%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4%.
AI </t>
    </r>
    <r>
      <rPr>
        <sz val="10"/>
        <rFont val="WenQuanYi Zen Hei"/>
        <family val="2"/>
      </rPr>
      <t xml:space="preserve">채팅은 모델 원가 비중이 커 마진율이 낮은 편이라 실질은 한 자릿수일 가능성이 높음</t>
    </r>
  </si>
  <si>
    <r>
      <rPr>
        <sz val="10"/>
        <rFont val="WenQuanYi Zen Hei"/>
        <family val="2"/>
      </rPr>
      <t xml:space="preserve">제보 기준 추정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):
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0.71% / R ONLY 30% →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2.13%
</t>
    </r>
    <r>
      <rPr>
        <sz val="10"/>
        <rFont val="WenQuanYi Zen Hei"/>
        <family val="2"/>
      </rPr>
      <t xml:space="preserve">실버 </t>
    </r>
    <r>
      <rPr>
        <sz val="10"/>
        <rFont val="맑은 고딕"/>
        <family val="0"/>
        <charset val="1"/>
      </rPr>
      <t xml:space="preserve">40% → 2.84%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45% → 3.20%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 → 3.56%
※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 — </t>
    </r>
    <r>
      <rPr>
        <sz val="10"/>
        <rFont val="WenQuanYi Zen Hei"/>
        <family val="2"/>
      </rPr>
      <t xml:space="preserve">조사 대상 중 표기</t>
    </r>
    <r>
      <rPr>
        <sz val="10"/>
        <rFont val="맑은 고딕"/>
        <family val="0"/>
        <charset val="1"/>
      </rPr>
      <t xml:space="preserve">-</t>
    </r>
    <r>
      <rPr>
        <sz val="10"/>
        <rFont val="WenQuanYi Zen Hei"/>
        <family val="2"/>
      </rPr>
      <t xml:space="preserve">실질 괴리가 가장 큼</t>
    </r>
  </si>
  <si>
    <r>
      <rPr>
        <sz val="10"/>
        <rFont val="WenQuanYi Zen Hei"/>
        <family val="2"/>
      </rPr>
      <t xml:space="preserve">산출 불가 — 콘 충전 가격표 미확인</t>
    </r>
    <r>
      <rPr>
        <sz val="10"/>
        <rFont val="맑은 고딕"/>
        <family val="0"/>
        <charset val="1"/>
      </rPr>
      <t xml:space="preserve">.
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6</t>
    </r>
    <r>
      <rPr>
        <sz val="10"/>
        <rFont val="WenQuanYi Zen Hei"/>
        <family val="2"/>
      </rPr>
      <t xml:space="preserve">원이면 멜팅온리 실질 </t>
    </r>
    <r>
      <rPr>
        <sz val="10"/>
        <rFont val="맑은 고딕"/>
        <family val="0"/>
        <charset val="1"/>
      </rPr>
      <t xml:space="preserve">3%, 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원이면 </t>
    </r>
    <r>
      <rPr>
        <sz val="10"/>
        <rFont val="맑은 고딕"/>
        <family val="0"/>
        <charset val="1"/>
      </rPr>
      <t xml:space="preserve">18%</t>
    </r>
    <r>
      <rPr>
        <sz val="10"/>
        <rFont val="WenQuanYi Zen Hei"/>
        <family val="2"/>
      </rPr>
      <t xml:space="preserve">로 크게 갈림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</si>
  <si>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</si>
  <si>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</si>
  <si>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</si>
  <si>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</si>
  <si>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</si>
  <si>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</si>
  <si>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</si>
  <si>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</si>
  <si>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 출금 한도는 없음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</si>
  <si>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</si>
  <si>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</si>
  <si>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</si>
  <si>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</si>
  <si>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</si>
  <si>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</si>
  <si>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</si>
  <si>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</si>
  <si>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</si>
  <si>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</si>
  <si>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</si>
  <si>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매월 초 전월 데이터를 집계하여 산출</t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</si>
  <si>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</si>
  <si>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</si>
  <si>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</si>
  <si>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</si>
  <si>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</si>
  <si>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</si>
  <si>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</si>
  <si>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</si>
  <si>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</si>
  <si>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</si>
  <si>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</si>
  <si>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</si>
  <si>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</si>
  <si>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r>
      <rPr>
        <sz val="10"/>
        <rFont val="WenQuanYi Zen Hei"/>
        <family val="2"/>
      </rPr>
      <t xml:space="preserve">크리에이터 단계 진입에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라이징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필요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라이징은 매월 공모전</t>
    </r>
    <r>
      <rPr>
        <sz val="10"/>
        <rFont val="맑은 고딕"/>
        <family val="0"/>
        <charset val="1"/>
      </rPr>
      <t xml:space="preserve">([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])</t>
    </r>
    <r>
      <rPr>
        <sz val="10"/>
        <rFont val="WenQuanYi Zen Hei"/>
        <family val="2"/>
      </rPr>
      <t xml:space="preserve">에서 멜팅이 선정 — 호감도모드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스토리모드 </t>
    </r>
    <r>
      <rPr>
        <sz val="10"/>
        <rFont val="맑은 고딕"/>
        <family val="0"/>
        <charset val="1"/>
      </rPr>
      <t xml:space="preserve">25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동일 크리에이터 기준 최대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개까지 선정 가능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</si>
  <si>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</si>
  <si>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</si>
  <si>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</si>
  <si>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</si>
  <si>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</si>
  <si>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</si>
  <si>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</si>
  <si>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</si>
  <si>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</si>
  <si>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</si>
  <si>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</si>
  <si>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r>
      <rPr>
        <sz val="10"/>
        <rFont val="WenQuanYi Zen Hei"/>
        <family val="2"/>
      </rPr>
      <t xml:space="preserve">무료 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사용한 콘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</si>
  <si>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</si>
  <si>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</si>
  <si>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</si>
  <si>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</si>
  <si>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</si>
  <si>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</si>
  <si>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</si>
  <si>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</si>
  <si>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</si>
  <si>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</si>
  <si>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</si>
  <si>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</si>
  <si>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sz val="10"/>
        <rFont val="WenQuanYi Zen Hei"/>
        <family val="2"/>
      </rPr>
      <t xml:space="preserve">적립 포인트는 자격 해지 시에도 소멸하지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정책 위반과 직접 관련된 캐릭터의 포인트는 환수 가능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</si>
  <si>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</si>
  <si>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</si>
  <si>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</si>
  <si>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</si>
  <si>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</si>
  <si>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</si>
  <si>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</si>
  <si>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이미지 해금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첫 장면 해금이 부가 수익원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</si>
  <si>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</si>
  <si>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</si>
  <si>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</si>
  <si>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계약 크리에이터는 계약 기반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일반 단계는 미확인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</si>
  <si>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</si>
  <si>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</si>
  <si>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</si>
  <si>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</si>
  <si>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</si>
  <si>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</si>
  <si>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</si>
  <si>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</si>
  <si>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</si>
  <si>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</si>
  <si>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r>
      <rPr>
        <sz val="10"/>
        <rFont val="WenQuanYi Zen Hei"/>
        <family val="2"/>
      </rPr>
      <t xml:space="preserve">파트너는 혜택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의무 및 글로벌 서비스 제공에 관한 동의 절차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앰배서더는 파트너십 계약 체결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</si>
  <si>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</si>
  <si>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</si>
  <si>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</si>
  <si>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</si>
  <si>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</si>
  <si>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</si>
  <si>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</si>
  <si>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</si>
  <si>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</si>
  <si>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캐릭터는 다국어 번역되어 글로벌 서비스에 등록됨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</si>
  <si>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</si>
  <si>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</si>
  <si>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</si>
  <si>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</si>
  <si>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</si>
  <si>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</si>
  <si>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</si>
  <si>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</si>
  <si>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(M Only)</t>
    </r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</si>
  <si>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</si>
  <si>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</si>
  <si>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</si>
  <si>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</si>
  <si>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</si>
  <si>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</si>
  <si>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</si>
  <si>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WenQuanYi Zen Hei"/>
        <family val="2"/>
      </rPr>
      <t xml:space="preserve">라이징 캐릭터를 멜팅온리로 설정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라이징 선정이 전제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</si>
  <si>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</si>
  <si>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</si>
  <si>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</si>
  <si>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</si>
  <si>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</si>
  <si>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</si>
  <si>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라이징 캐릭터는 일정 기간 공개 유지 의무가 있으며</t>
    </r>
    <r>
      <rPr>
        <sz val="10"/>
        <rFont val="맑은 고딕"/>
        <family val="0"/>
        <charset val="1"/>
      </rPr>
      <t xml:space="preserve">, 2,000</t>
    </r>
    <r>
      <rPr>
        <sz val="10"/>
        <rFont val="WenQuanYi Zen Hei"/>
        <family val="2"/>
      </rPr>
      <t xml:space="preserve">콘 이상 수익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선정일로부터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이상 노출을 모두 만족해야 비공개 전환 가능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</si>
  <si>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</si>
  <si>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</si>
  <si>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</si>
  <si>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</si>
  <si>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</si>
  <si>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기준으로는 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40 / 45 / 50%</t>
    </r>
  </si>
  <si>
    <r>
      <rPr>
        <sz val="10"/>
        <rFont val="WenQuanYi Zen Hei"/>
        <family val="2"/>
      </rPr>
      <t xml:space="preserve">기존 인센티브 포인트의 </t>
    </r>
    <r>
      <rPr>
        <sz val="10"/>
        <rFont val="맑은 고딕"/>
        <family val="0"/>
        <charset val="1"/>
      </rPr>
      <t xml:space="preserve">50% </t>
    </r>
    <r>
      <rPr>
        <sz val="10"/>
        <rFont val="WenQuanYi Zen Hei"/>
        <family val="2"/>
      </rPr>
      <t xml:space="preserve">추가 → 유료 콘의 </t>
    </r>
    <r>
      <rPr>
        <sz val="10"/>
        <rFont val="맑은 고딕"/>
        <family val="0"/>
        <charset val="1"/>
      </rPr>
      <t xml:space="preserve">1.5% (</t>
    </r>
    <r>
      <rPr>
        <sz val="10"/>
        <rFont val="WenQuanYi Zen Hei"/>
        <family val="2"/>
      </rPr>
      <t xml:space="preserve">콘 환산 </t>
    </r>
    <r>
      <rPr>
        <sz val="10"/>
        <rFont val="맑은 고딕"/>
        <family val="0"/>
        <charset val="1"/>
      </rPr>
      <t xml:space="preserve">3%). </t>
    </r>
    <r>
      <rPr>
        <sz val="10"/>
        <rFont val="WenQuanYi Zen Hei"/>
        <family val="2"/>
      </rPr>
      <t xml:space="preserve">이미지 해금도 건당 </t>
    </r>
    <r>
      <rPr>
        <sz val="10"/>
        <rFont val="맑은 고딕"/>
        <family val="0"/>
        <charset val="1"/>
      </rPr>
      <t xml:space="preserve">1 → 1.5</t>
    </r>
    <r>
      <rPr>
        <sz val="10"/>
        <rFont val="WenQuanYi Zen Hei"/>
        <family val="2"/>
      </rPr>
      <t xml:space="preserve">포인트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</si>
  <si>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</si>
  <si>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</si>
  <si>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</si>
  <si>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</si>
  <si>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제보 기준 약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등급 적용 시 </t>
    </r>
    <r>
      <rPr>
        <sz val="10"/>
        <rFont val="맑은 고딕"/>
        <family val="0"/>
        <charset val="1"/>
      </rPr>
      <t xml:space="preserve">2.84~3.56%).
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와 실질 </t>
    </r>
    <r>
      <rPr>
        <sz val="10"/>
        <rFont val="맑은 고딕"/>
        <family val="0"/>
        <charset val="1"/>
      </rPr>
      <t xml:space="preserve">2.1%</t>
    </r>
    <r>
      <rPr>
        <sz val="10"/>
        <rFont val="WenQuanYi Zen Hei"/>
        <family val="2"/>
      </rPr>
      <t xml:space="preserve">의 격차가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 — 크레딧 → 현금 단계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0.64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에서 대부분 감액</t>
    </r>
  </si>
  <si>
    <t xml:space="preserve">산출 불가 — 콘 충전 가격표 미확인</t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</si>
  <si>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</si>
  <si>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</si>
  <si>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</si>
  <si>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</si>
  <si>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</si>
  <si>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</si>
  <si>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</si>
  <si>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</si>
  <si>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</si>
  <si>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</si>
  <si>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</si>
  <si>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미확인 — 독점 범위 규정이 문서에 없음</t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</si>
  <si>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</si>
  <si>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</si>
  <si>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</si>
  <si>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</si>
  <si>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</si>
  <si>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 운영 중 캐릭터 비공개 처리 시 회수되지 않은 선지급 콘</t>
    </r>
    <r>
      <rPr>
        <sz val="10"/>
        <rFont val="맑은 고딕"/>
        <family val="0"/>
        <charset val="1"/>
      </rPr>
      <t xml:space="preserve">(2,000</t>
    </r>
    <r>
      <rPr>
        <sz val="10"/>
        <rFont val="WenQuanYi Zen Hei"/>
        <family val="2"/>
      </rPr>
      <t xml:space="preserve">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 환수될 수 있음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</si>
  <si>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</si>
  <si>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</si>
  <si>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</si>
  <si>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</si>
  <si>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</si>
  <si>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</si>
  <si>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</si>
  <si>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멜팅온리 캐릭터 전용 영역 노출</t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</si>
  <si>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</si>
  <si>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</si>
  <si>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</si>
  <si>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</si>
  <si>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</si>
  <si>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</si>
  <si>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자격 해지 검토 사유 및 창작자 단계 유의사항에 포함됨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</si>
  <si>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</si>
  <si>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</si>
  <si>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</si>
  <si>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</si>
  <si>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</si>
  <si>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</si>
  <si>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</si>
  <si>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</si>
  <si>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</si>
  <si>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</si>
  <si>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</si>
  <si>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</si>
  <si>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</si>
  <si>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</si>
  <si>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</si>
  <si>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</si>
  <si>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</si>
  <si>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</si>
  <si>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</si>
  <si>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</si>
  <si>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</si>
  <si>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</si>
  <si>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</si>
  <si>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</si>
  <si>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</si>
  <si>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</si>
  <si>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</si>
  <si>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</si>
  <si>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</si>
  <si>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</si>
  <si>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</si>
  <si>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</si>
  <si>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</si>
  <si>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</si>
  <si>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</si>
  <si>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</si>
  <si>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</si>
  <si>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</si>
  <si>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</si>
  <si>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</si>
  <si>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</si>
  <si>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</si>
  <si>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</si>
  <si>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</si>
  <si>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</si>
  <si>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</si>
  <si>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</si>
  <si>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</si>
  <si>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</si>
  <si>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</si>
  <si>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</si>
  <si>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</si>
  <si>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</si>
  <si>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</si>
  <si>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</si>
  <si>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</si>
  <si>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</si>
  <si>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</si>
  <si>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</si>
  <si>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</si>
  <si>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</si>
  <si>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</si>
  <si>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</si>
  <si>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</si>
  <si>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</si>
  <si>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</si>
  <si>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</si>
  <si>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</si>
  <si>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— 정산율 확정 </t>
    </r>
    <r>
      <rPr>
        <b val="true"/>
        <sz val="10"/>
        <rFont val="맑은 고딕"/>
        <family val="0"/>
        <charset val="1"/>
      </rPr>
      <t xml:space="preserve">(1</t>
    </r>
    <r>
      <rPr>
        <b val="true"/>
        <sz val="10"/>
        <rFont val="WenQuanYi Zen Hei"/>
        <family val="2"/>
      </rPr>
      <t xml:space="preserve">윙 </t>
    </r>
    <r>
      <rPr>
        <b val="true"/>
        <sz val="10"/>
        <rFont val="맑은 고딕"/>
        <family val="0"/>
        <charset val="1"/>
      </rPr>
      <t xml:space="preserve">= 1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윙 상품 결제 화면에서 확인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전 구간 할인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보너스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</si>
  <si>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500</t>
    </r>
    <r>
      <rPr>
        <sz val="10"/>
        <rFont val="WenQuanYi Zen Hei"/>
        <family val="2"/>
      </rPr>
      <t xml:space="preserve">원 → 크리에이터 </t>
    </r>
    <r>
      <rPr>
        <sz val="10"/>
        <rFont val="맑은 고딕"/>
        <family val="0"/>
        <charset val="1"/>
      </rPr>
      <t xml:space="preserve">250pt = 150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30.0%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</si>
  <si>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300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100pt = 60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20.0%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</si>
  <si>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80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8pt = 4.8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6.0%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</si>
  <si>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150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10pt = 6</t>
    </r>
    <r>
      <rPr>
        <sz val="10"/>
        <rFont val="WenQuanYi Zen Hei"/>
        <family val="2"/>
      </rPr>
      <t xml:space="preserve">원  </t>
    </r>
    <r>
      <rPr>
        <sz val="10"/>
        <rFont val="맑은 고딕"/>
        <family val="0"/>
        <charset val="1"/>
      </rPr>
      <t xml:space="preserve">·  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4.0%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</si>
  <si>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윙 선물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공식 크리에이터는 </t>
    </r>
    <r>
      <rPr>
        <sz val="10"/>
        <rFont val="맑은 고딕"/>
        <family val="0"/>
        <charset val="1"/>
      </rPr>
      <t xml:space="preserve">10% → 90%)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</si>
  <si>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= 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</si>
  <si>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sz val="10"/>
        <rFont val="WenQuanYi Zen Hei"/>
        <family val="2"/>
      </rPr>
      <t xml:space="preserve">→ 크리에이터가 직접 만든 콘텐츠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는 높고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것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4%)</t>
    </r>
    <r>
      <rPr>
        <sz val="10"/>
        <rFont val="WenQuanYi Zen Hei"/>
        <family val="2"/>
      </rPr>
      <t xml:space="preserve">은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후원성인 윙 선물이 </t>
    </r>
    <r>
      <rPr>
        <sz val="10"/>
        <rFont val="맑은 고딕"/>
        <family val="0"/>
        <charset val="1"/>
      </rPr>
      <t xml:space="preserve">80~90%</t>
    </r>
    <r>
      <rPr>
        <sz val="10"/>
        <rFont val="WenQuanYi Zen Hei"/>
        <family val="2"/>
      </rPr>
      <t xml:space="preserve">로 가장 높음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</si>
  <si>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</si>
  <si>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</si>
  <si>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</si>
  <si>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</si>
  <si>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</si>
  <si>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</si>
  <si>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</si>
  <si>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</si>
  <si>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</si>
  <si>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</si>
  <si>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</si>
  <si>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</si>
  <si>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</si>
  <si>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</si>
  <si>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</si>
  <si>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</si>
  <si>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</si>
  <si>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</si>
  <si>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</si>
  <si>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</si>
  <si>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</si>
  <si>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</si>
  <si>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</si>
  <si>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</si>
  <si>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</si>
  <si>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</si>
  <si>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</si>
  <si>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</si>
  <si>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</si>
  <si>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</si>
  <si>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마진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</si>
  <si>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답변으로 확인 — 총결제액이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</si>
  <si>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미공개로 실질 산출 불가 — 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</si>
  <si>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</si>
  <si>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</si>
  <si>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</si>
  <si>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멜팅 — 라이징 캐릭터 유료 콘</t>
  </si>
  <si>
    <r>
      <rPr>
        <sz val="10"/>
        <rFont val="WenQuanYi Zen Hei"/>
        <family val="2"/>
      </rPr>
      <t xml:space="preserve">유저가 라이징 캐릭터와 소비한 유료 콘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콘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</si>
  <si>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1%(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)·2%(</t>
    </r>
    <r>
      <rPr>
        <sz val="10"/>
        <rFont val="WenQuanYi Zen Hei"/>
        <family val="2"/>
      </rPr>
      <t xml:space="preserve">콘 환산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1.5%·3%. </t>
    </r>
    <r>
      <rPr>
        <sz val="10"/>
        <rFont val="WenQuanYi Zen Hei"/>
        <family val="2"/>
      </rPr>
      <t xml:space="preserve">첫 장면 해금은 유료 콘의 </t>
    </r>
    <r>
      <rPr>
        <sz val="10"/>
        <rFont val="맑은 고딕"/>
        <family val="0"/>
        <charset val="1"/>
      </rPr>
      <t xml:space="preserve">25%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</si>
  <si>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</si>
  <si>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</si>
  <si>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</si>
  <si>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</si>
  <si>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</si>
  <si>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</si>
  <si>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</si>
  <si>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</si>
  <si>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</si>
  <si>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</si>
  <si>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</si>
  <si>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</si>
  <si>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</si>
  <si>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</si>
  <si>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</si>
  <si>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</si>
  <si>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</si>
  <si>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</si>
  <si>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</si>
  <si>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</si>
  <si>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</si>
  <si>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</si>
  <si>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</si>
  <si>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</si>
  <si>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</si>
  <si>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</si>
  <si>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</si>
  <si>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</si>
  <si>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</si>
  <si>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</si>
  <si>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</si>
  <si>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</si>
  <si>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</si>
  <si>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</si>
  <si>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</si>
  <si>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</si>
  <si>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</si>
  <si>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</si>
  <si>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</si>
  <si>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</si>
  <si>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</si>
  <si>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</si>
  <si>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</si>
  <si>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</si>
  <si>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</si>
  <si>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r>
      <rPr>
        <sz val="10"/>
        <rFont val="맑은 고딕"/>
        <family val="0"/>
        <charset val="1"/>
      </rPr>
      <t xml:space="preserve">1.0~2.3% (</t>
    </r>
    <r>
      <rPr>
        <sz val="10"/>
        <rFont val="WenQuanYi Zen Hei"/>
        <family val="2"/>
      </rPr>
      <t xml:space="preserve">확정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</si>
  <si>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전환 비율만 표기하고 실질 수치는 밝히지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 확인되어 실질 확정</t>
    </r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</si>
  <si>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</si>
  <si>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</si>
  <si>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</si>
  <si>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</si>
  <si>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</si>
  <si>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</si>
  <si>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</si>
  <si>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</si>
  <si>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</si>
  <si>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</si>
  <si>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</si>
  <si>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</si>
  <si>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</si>
  <si>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</si>
  <si>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</si>
  <si>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</si>
  <si>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</si>
  <si>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</si>
  <si>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</si>
  <si>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</si>
  <si>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</si>
  <si>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</si>
  <si>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</si>
  <si>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</si>
  <si>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</si>
  <si>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</si>
  <si>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</si>
  <si>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</si>
  <si>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</si>
  <si>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</si>
  <si>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</si>
  <si>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</si>
  <si>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</si>
  <si>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</si>
  <si>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</si>
  <si>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</si>
  <si>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</si>
  <si>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</si>
  <si>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</si>
  <si>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</si>
  <si>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</si>
  <si>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</si>
  <si>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</si>
  <si>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</si>
  <si>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</si>
  <si>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</si>
  <si>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</si>
  <si>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</si>
  <si>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</si>
  <si>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</si>
  <si>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</si>
  <si>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</si>
  <si>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</si>
  <si>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</si>
  <si>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</si>
  <si>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</si>
  <si>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</si>
  <si>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</si>
  <si>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</si>
  <si>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</si>
  <si>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</si>
  <si>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</si>
  <si>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</si>
  <si>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</si>
  <si>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</si>
  <si>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r>
      <rPr>
        <sz val="10"/>
        <rFont val="맑은 고딕"/>
        <family val="0"/>
        <charset val="1"/>
      </rPr>
      <t xml:space="preserve">R ONLY 30%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40~50%)</t>
    </r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</si>
  <si>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</si>
  <si>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표기 기준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제보 기준 실질은 </t>
    </r>
    <r>
      <rPr>
        <sz val="10"/>
        <rFont val="맑은 고딕"/>
        <family val="0"/>
        <charset val="1"/>
      </rPr>
      <t xml:space="preserve">2.13% (</t>
    </r>
    <r>
      <rPr>
        <sz val="10"/>
        <rFont val="WenQuanYi Zen Hei"/>
        <family val="2"/>
      </rPr>
      <t xml:space="preserve">파트너 </t>
    </r>
    <r>
      <rPr>
        <sz val="10"/>
        <rFont val="맑은 고딕"/>
        <family val="0"/>
        <charset val="1"/>
      </rPr>
      <t xml:space="preserve">2.84~3.56%) — </t>
    </r>
    <r>
      <rPr>
        <sz val="10"/>
        <rFont val="WenQuanYi Zen Hei"/>
        <family val="2"/>
      </rPr>
      <t xml:space="preserve">표기 대비 약 </t>
    </r>
    <r>
      <rPr>
        <sz val="10"/>
        <rFont val="맑은 고딕"/>
        <family val="0"/>
        <charset val="1"/>
      </rPr>
      <t xml:space="preserve">1/14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</si>
  <si>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</si>
  <si>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</si>
  <si>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</si>
  <si>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</si>
  <si>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</si>
  <si>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</si>
  <si>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</si>
  <si>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</si>
  <si>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</si>
  <si>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</si>
  <si>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</si>
  <si>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</si>
  <si>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</si>
  <si>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</si>
  <si>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</si>
  <si>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</si>
  <si>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</si>
  <si>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</si>
  <si>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</si>
  <si>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</si>
  <si>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WenQuanYi Zen Hei"/>
        <family val="2"/>
      </rPr>
      <t xml:space="preserve">유료 콘의 </t>
    </r>
    <r>
      <rPr>
        <sz val="10"/>
        <rFont val="맑은 고딕"/>
        <family val="0"/>
        <charset val="1"/>
      </rPr>
      <t xml:space="preserve">1%</t>
    </r>
  </si>
  <si>
    <r>
      <rPr>
        <sz val="10"/>
        <rFont val="WenQuanYi Zen Hei"/>
        <family val="2"/>
      </rPr>
      <t xml:space="preserve">멜팅온리 </t>
    </r>
    <r>
      <rPr>
        <sz val="10"/>
        <rFont val="맑은 고딕"/>
        <family val="0"/>
        <charset val="1"/>
      </rPr>
      <t xml:space="preserve">1.5%</t>
    </r>
  </si>
  <si>
    <t xml:space="preserve">라이징 선정이 전제 — 매월 공모전에서 멜팅이 선정한 캐릭터만 대상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</si>
  <si>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</si>
  <si>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셀프 선택이 가능한 곳은 티팟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조건 미확인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멜팅은 플랫폼 선정제</t>
    </r>
  </si>
  <si>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커뮤니티 참고글</t>
    </r>
    <r>
      <rPr>
        <i val="true"/>
        <sz val="9"/>
        <color rgb="FF595959"/>
        <rFont val="맑은 고딕"/>
        <family val="0"/>
        <charset val="1"/>
      </rPr>
      <t xml:space="preserve">(dcinside aiotomechatting </t>
    </r>
    <r>
      <rPr>
        <i val="true"/>
        <sz val="9"/>
        <color rgb="FF595959"/>
        <rFont val="WenQuanYi Zen Hei"/>
        <family val="2"/>
      </rPr>
      <t xml:space="preserve">갤러리 </t>
    </r>
    <r>
      <rPr>
        <i val="true"/>
        <sz val="9"/>
        <color rgb="FF595959"/>
        <rFont val="맑은 고딕"/>
        <family val="0"/>
        <charset val="1"/>
      </rPr>
      <t xml:space="preserve">no.9036). </t>
    </r>
    <r>
      <rPr>
        <i val="true"/>
        <sz val="9"/>
        <color rgb="FF595959"/>
        <rFont val="WenQuanYi Zen Hei"/>
        <family val="2"/>
      </rPr>
      <t xml:space="preserve">작성자가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검수 </t>
    </r>
    <r>
      <rPr>
        <i val="true"/>
        <sz val="9"/>
        <color rgb="FF595959"/>
        <rFont val="맑은 고딕"/>
        <family val="0"/>
        <charset val="1"/>
      </rPr>
      <t xml:space="preserve">AI</t>
    </r>
    <r>
      <rPr>
        <i val="true"/>
        <sz val="9"/>
        <color rgb="FF595959"/>
        <rFont val="WenQuanYi Zen Hei"/>
        <family val="2"/>
      </rPr>
      <t xml:space="preserve">를 거쳤으나 데이터 오염 가능성이 있으니 참고만 하라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고 명시했습니다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</si>
  <si>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게시물 내부 수치는 완전히 정합적입니다 — 전 구간 크레딧당 정확히 </t>
    </r>
    <r>
      <rPr>
        <i val="true"/>
        <sz val="9"/>
        <color rgb="FF595959"/>
        <rFont val="맑은 고딕"/>
        <family val="0"/>
        <charset val="1"/>
      </rPr>
      <t xml:space="preserve">0.640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도 전부 일치합니다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</si>
  <si>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전제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젬이오만 사용 기준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유저 결제 </t>
    </r>
    <r>
      <rPr>
        <i val="true"/>
        <sz val="9"/>
        <color rgb="FF595959"/>
        <rFont val="맑은 고딕"/>
        <family val="0"/>
        <charset val="1"/>
      </rPr>
      <t xml:space="preserve">90</t>
    </r>
    <r>
      <rPr>
        <i val="true"/>
        <sz val="9"/>
        <color rgb="FF595959"/>
        <rFont val="WenQuanYi Zen Hei"/>
        <family val="2"/>
      </rPr>
      <t xml:space="preserve">만원 </t>
    </r>
    <r>
      <rPr>
        <i val="true"/>
        <sz val="9"/>
        <color rgb="FF595959"/>
        <rFont val="맑은 고딕"/>
        <family val="0"/>
        <charset val="1"/>
      </rPr>
      <t xml:space="preserve">= 10</t>
    </r>
    <r>
      <rPr>
        <i val="true"/>
        <sz val="9"/>
        <color rgb="FF595959"/>
        <rFont val="WenQuanYi Zen Hei"/>
        <family val="2"/>
      </rPr>
      <t xml:space="preserve">만 포인트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포인트 </t>
    </r>
    <r>
      <rPr>
        <i val="true"/>
        <sz val="9"/>
        <color rgb="FF595959"/>
        <rFont val="맑은 고딕"/>
        <family val="0"/>
        <charset val="1"/>
      </rPr>
      <t xml:space="preserve">= 9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크리에이터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0.64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세전</t>
    </r>
  </si>
  <si>
    <r>
      <rPr>
        <b val="true"/>
        <sz val="10"/>
        <color rgb="FFFFFFFF"/>
        <rFont val="WenQuanYi Zen Hei"/>
        <family val="2"/>
      </rPr>
      <t xml:space="preserve">크레딧 </t>
    </r>
    <r>
      <rPr>
        <b val="true"/>
        <sz val="10"/>
        <color rgb="FFFFFFFF"/>
        <rFont val="맑은 고딕"/>
        <family val="0"/>
        <charset val="1"/>
      </rPr>
      <t xml:space="preserve">(10</t>
    </r>
    <r>
      <rPr>
        <b val="true"/>
        <sz val="10"/>
        <color rgb="FFFFFFFF"/>
        <rFont val="WenQuanYi Zen Hei"/>
        <family val="2"/>
      </rPr>
      <t xml:space="preserve">만포인트 소모 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</si>
  <si>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출금액</t>
  </si>
  <si>
    <t xml:space="preserve">유저 결제액 대비 실질</t>
  </si>
  <si>
    <t xml:space="preserve">요율 →</t>
  </si>
  <si>
    <t xml:space="preserve">일반 캐릭터</t>
  </si>
  <si>
    <r>
      <rPr>
        <b val="true"/>
        <sz val="10"/>
        <rFont val="맑은 고딕"/>
        <family val="0"/>
        <charset val="1"/>
      </rPr>
      <t xml:space="preserve">R ONLY (</t>
    </r>
    <r>
      <rPr>
        <b val="true"/>
        <sz val="10"/>
        <rFont val="WenQuanYi Zen Hei"/>
        <family val="2"/>
      </rPr>
      <t xml:space="preserve">기본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</si>
  <si>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실버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</si>
  <si>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골드</t>
    </r>
  </si>
  <si>
    <r>
      <rPr>
        <b val="true"/>
        <sz val="10"/>
        <rFont val="맑은 고딕"/>
        <family val="0"/>
        <charset val="1"/>
      </rPr>
      <t xml:space="preserve">R ONLY — </t>
    </r>
    <r>
      <rPr>
        <b val="true"/>
        <sz val="10"/>
        <rFont val="WenQuanYi Zen Hei"/>
        <family val="2"/>
      </rPr>
      <t xml:space="preserve">파트너 플래티넘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</si>
  <si>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가 실질 </t>
    </r>
    <r>
      <rPr>
        <sz val="10"/>
        <rFont val="맑은 고딕"/>
        <family val="0"/>
        <charset val="1"/>
      </rPr>
      <t xml:space="preserve">2.13% —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1/14. </t>
    </r>
    <r>
      <rPr>
        <sz val="10"/>
        <rFont val="WenQuanYi Zen Hei"/>
        <family val="2"/>
      </rPr>
      <t xml:space="preserve">조사 대상 중 표기와 실질의 괴리가 가장 큽니다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1/10,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1/3.3)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</si>
  <si>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감액은 크레딧 → 현금 단계에서 발생합니다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원이기 때문</t>
    </r>
  </si>
  <si>
    <r>
      <rPr>
        <sz val="10"/>
        <rFont val="WenQuanYi Zen Hei"/>
        <family val="2"/>
      </rPr>
      <t xml:space="preserve">⚠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위 표는 공식 등급표 기준으로 재계산했습니다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</si>
  <si>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확정하려면 공식 자료로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 비율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충전 가격표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확인해야 합니다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</si>
  <si>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</si>
  <si>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19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</si>
  <si>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</si>
  <si>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</si>
  <si>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</si>
  <si>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</si>
  <si>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</si>
  <si>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r>
      <rPr>
        <sz val="10"/>
        <rFont val="WenQuanYi Zen Hei"/>
        <family val="2"/>
      </rPr>
      <t xml:space="preserve">크리에이터 단계는 포인트를 콘으로 교환만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단계째인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부터 —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신규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필요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</si>
  <si>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</si>
  <si>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</si>
  <si>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</si>
  <si>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</si>
  <si>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</si>
  <si>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</si>
  <si>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</si>
  <si>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별도의 월 출금 한도 없이 보유 크레딧 범위 내에서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페이지 → 크레딧 상점 → 현금 출금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</si>
  <si>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</si>
  <si>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</si>
  <si>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</si>
  <si>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</si>
  <si>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</si>
  <si>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</si>
  <si>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</si>
  <si>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</si>
  <si>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</si>
  <si>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</si>
  <si>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</si>
  <si>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</si>
  <si>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</si>
  <si>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</si>
  <si>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</si>
  <si>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</si>
  <si>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</si>
  <si>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</si>
  <si>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</si>
  <si>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</si>
  <si>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</si>
  <si>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</si>
  <si>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</si>
  <si>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</si>
  <si>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</si>
  <si>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</si>
  <si>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</si>
  <si>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</si>
  <si>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</si>
  <si>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</si>
  <si>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</si>
  <si>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</si>
  <si>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</si>
  <si>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</si>
  <si>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</si>
  <si>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</si>
  <si>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</si>
  <si>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</si>
  <si>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</si>
  <si>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</si>
  <si>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</si>
  <si>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</si>
  <si>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</si>
  <si>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</si>
  <si>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</si>
  <si>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</si>
  <si>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</si>
  <si>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</si>
  <si>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</si>
  <si>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</si>
  <si>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</si>
  <si>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</si>
  <si>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</si>
  <si>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</si>
  <si>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</si>
  <si>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</si>
  <si>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</si>
  <si>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</si>
  <si>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</si>
  <si>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</si>
  <si>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</si>
  <si>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</si>
  <si>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</si>
  <si>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</si>
  <si>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</si>
  <si>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</si>
  <si>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</si>
  <si>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1.8</t>
    </r>
    <r>
      <rPr>
        <sz val="10"/>
        <rFont val="WenQuanYi Zen Hei"/>
        <family val="2"/>
      </rPr>
      <t xml:space="preserve">원 일정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지급 형태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가 확인되면 확정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</si>
  <si>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</si>
  <si>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</si>
  <si>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</si>
  <si>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</si>
  <si>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1.0~1.3%</t>
  </si>
  <si>
    <t xml:space="preserve">B Only 1.1~2.3%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</si>
  <si>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베리 → 프로챗 </t>
    </r>
    <r>
      <rPr>
        <sz val="10"/>
        <rFont val="맑은 고딕"/>
        <family val="0"/>
        <charset val="1"/>
      </rPr>
      <t xml:space="preserve">10:1. </t>
    </r>
    <r>
      <rPr>
        <sz val="10"/>
        <rFont val="WenQuanYi Zen Hei"/>
        <family val="2"/>
      </rPr>
      <t xml:space="preserve">현금 경로 없음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</si>
  <si>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</si>
  <si>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1.0%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2.0%</t>
    </r>
  </si>
  <si>
    <r>
      <rPr>
        <sz val="10"/>
        <rFont val="WenQuanYi Zen Hei"/>
        <family val="2"/>
      </rPr>
      <t xml:space="preserve">멜팅온리 현금 </t>
    </r>
    <r>
      <rPr>
        <sz val="10"/>
        <rFont val="맑은 고딕"/>
        <family val="0"/>
        <charset val="1"/>
      </rPr>
      <t xml:space="preserve">1.5% / 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3.0%</t>
    </r>
  </si>
  <si>
    <r>
      <rPr>
        <sz val="10"/>
        <rFont val="WenQuanYi Zen Hei"/>
        <family val="2"/>
      </rPr>
      <t xml:space="preserve">포인트를 현금으로 받으면 </t>
    </r>
    <r>
      <rPr>
        <sz val="10"/>
        <rFont val="맑은 고딕"/>
        <family val="0"/>
        <charset val="1"/>
      </rPr>
      <t xml:space="preserve">1%, </t>
    </r>
    <r>
      <rPr>
        <sz val="10"/>
        <rFont val="WenQuanYi Zen Hei"/>
        <family val="2"/>
      </rPr>
      <t xml:space="preserve">콘으로 받으면 </t>
    </r>
    <r>
      <rPr>
        <sz val="10"/>
        <rFont val="맑은 고딕"/>
        <family val="0"/>
        <charset val="1"/>
      </rPr>
      <t xml:space="preserve">2% </t>
    </r>
    <r>
      <rPr>
        <sz val="10"/>
        <rFont val="WenQuanYi Zen Hei"/>
        <family val="2"/>
      </rPr>
      <t xml:space="preserve">상당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</si>
  <si>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</si>
  <si>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본인인증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</si>
  <si>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</si>
  <si>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단위가 오브인지 원인지 미확인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</si>
  <si>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</si>
  <si>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</si>
  <si>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턴당 소모 플링만 확인되면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산출 가능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</si>
  <si>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1.25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</si>
  <si>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</si>
  <si>
    <t xml:space="preserve">기준 요율이 비공개라 단가만으로는 산출 불가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</si>
  <si>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</si>
  <si>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</si>
  <si>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모수가 디젤 소모량이면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</si>
  <si>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</si>
  <si>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/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보이스 </t>
    </r>
    <r>
      <rPr>
        <sz val="10"/>
        <rFont val="맑은 고딕"/>
        <family val="0"/>
        <charset val="1"/>
      </rPr>
      <t xml:space="preserve">6% /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</si>
  <si>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 →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</t>
    </r>
  </si>
  <si>
    <t xml:space="preserve">채팅은 소모 윙 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</si>
  <si>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케이브덕 부가수익 </t>
    </r>
    <r>
      <rPr>
        <sz val="10"/>
        <rFont val="맑은 고딕"/>
        <family val="0"/>
        <charset val="1"/>
      </rPr>
      <t xml:space="preserve">4~30% 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3% ·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1.0~1.5% ·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</si>
  <si>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</si>
  <si>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i val="true"/>
        <sz val="9"/>
        <color rgb="FF595959"/>
        <rFont val="WenQuanYi Zen Hei"/>
        <family val="2"/>
      </rPr>
      <t xml:space="preserve">같은 </t>
    </r>
    <r>
      <rPr>
        <i val="true"/>
        <sz val="9"/>
        <color rgb="FF595959"/>
        <rFont val="맑은 고딕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라도 모수가 총결제액이냐 재화 소모량이냐 마진이냐에 따라 실질이 몇 배씩 갈립니다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요율만 나란히 놓고 비교하면 안 되는 이유입니다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</si>
  <si>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유형</t>
  </si>
  <si>
    <t xml:space="preserve">검증 가능성</t>
  </si>
  <si>
    <t xml:space="preserve">① 유저 결제액 기준</t>
  </si>
  <si>
    <r>
      <rPr>
        <sz val="10"/>
        <rFont val="WenQuanYi Zen Hei"/>
        <family val="2"/>
      </rPr>
      <t xml:space="preserve">유료 리프 사용액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</si>
  <si>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가능 — 결제액 대비 비율이 바로 성립</t>
  </si>
  <si>
    <r>
      <rPr>
        <sz val="10"/>
        <rFont val="WenQuanYi Zen Hei"/>
        <family val="2"/>
      </rPr>
      <t xml:space="preserve">유료 스텔라 사용량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</si>
  <si>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② 재화 소모량 기준</t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</si>
  <si>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</si>
  <si>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)</t>
    </r>
  </si>
  <si>
    <t xml:space="preserve">부분 — 포인트 전환 비율 미확인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</si>
  <si>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</si>
  <si>
    <r>
      <rPr>
        <sz val="10"/>
        <rFont val="WenQuanYi Zen Hei"/>
        <family val="2"/>
      </rPr>
      <t xml:space="preserve">캐릭터에 소모된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포인트 </t>
    </r>
    <r>
      <rPr>
        <sz val="10"/>
        <rFont val="맑은 고딕"/>
        <family val="0"/>
        <charset val="1"/>
      </rPr>
      <t xml:space="preserve">= 9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</si>
  <si>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부분 — 공식 확인 필요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</si>
  <si>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</si>
  <si>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— 블루젬 교환가치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공개</t>
    </r>
  </si>
  <si>
    <t xml:space="preserve">부분 — 프로챗 단가 미확인</t>
  </si>
  <si>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</t>
    </r>
  </si>
  <si>
    <r>
      <rPr>
        <sz val="10"/>
        <rFont val="WenQuanYi Zen Hei"/>
        <family val="2"/>
      </rPr>
      <t xml:space="preserve">유료 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유료 캐롯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캐릭터 사용액</t>
    </r>
  </si>
  <si>
    <t xml:space="preserve">불가 — 재화 단가 미확인</t>
  </si>
  <si>
    <t xml:space="preserve">③ 마진 기준</t>
  </si>
  <si>
    <r>
      <rPr>
        <sz val="10"/>
        <rFont val="WenQuanYi Zen Hei"/>
        <family val="2"/>
      </rPr>
      <t xml:space="preserve">마진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답변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</si>
  <si>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마진율은 영업 정보라 공개될 가능성이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스스로 검증할 방법도 없음</t>
    </r>
  </si>
  <si>
    <t xml:space="preserve">④ 모수 미공개</t>
  </si>
  <si>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</si>
  <si>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— 해당 없음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정액제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</si>
  <si>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</si>
  <si>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정액 지급이라 모수 개념이 없음</t>
    </r>
  </si>
  <si>
    <t xml:space="preserve">건당 금액은 확정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</si>
  <si>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그중 유저 결제액 대비 비율이 바로 성립하는 곳은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</si>
  <si>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크리에이터가 검증할 수 없는 유일한 형태 — 플랫폼이 원가를 어떻게 잡느냐에 따라 실수령이 달라짐</t>
    </r>
  </si>
  <si>
    <r>
      <rPr>
        <b val="true"/>
        <sz val="10"/>
        <rFont val="WenQuanYi Zen Hei"/>
        <family val="2"/>
      </rPr>
      <t xml:space="preserve">케이브덕 채팅 정산율 — 남은 미지수는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윙 소모량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하나</t>
    </r>
  </si>
  <si>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윙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원이 확정되어 소모 윙 수가 곧 유저 지불액입니다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아래 노란 칸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가정 소모량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을 실제 값으로 바꾸면 정산율이 확정됩니다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</si>
  <si>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확인 방법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앱에서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 전후 윙 잔량 비교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모델별로 다를 수 있으므로 </t>
    </r>
    <r>
      <rPr>
        <i val="true"/>
        <sz val="9"/>
        <color rgb="FF595959"/>
        <rFont val="맑은 고딕"/>
        <family val="0"/>
        <charset val="1"/>
      </rPr>
      <t xml:space="preserve">Opus</t>
    </r>
    <r>
      <rPr>
        <i val="true"/>
        <sz val="9"/>
        <color rgb="FF595959"/>
        <rFont val="WenQuanYi Zen Hei"/>
        <family val="2"/>
      </rPr>
      <t xml:space="preserve">와 </t>
    </r>
    <r>
      <rPr>
        <i val="true"/>
        <sz val="9"/>
        <color rgb="FF595959"/>
        <rFont val="맑은 고딕"/>
        <family val="0"/>
        <charset val="1"/>
      </rPr>
      <t xml:space="preserve">Sonnet </t>
    </r>
    <r>
      <rPr>
        <i val="true"/>
        <sz val="9"/>
        <color rgb="FF595959"/>
        <rFont val="WenQuanYi Zen Hei"/>
        <family val="2"/>
      </rPr>
      <t xml:space="preserve">각각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회씩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</si>
  <si>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모델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</si>
  <si>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인센티브</t>
  </si>
  <si>
    <t xml:space="preserve">가정 — 채팅당 소모 윙</t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</si>
  <si>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</si>
  <si>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Opus 5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</si>
  <si>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</si>
  <si>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GPT-5.4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</si>
  <si>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</si>
  <si>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Claude Sonnet 4.6 — </t>
    </r>
    <r>
      <rPr>
        <b val="true"/>
        <sz val="10"/>
        <rFont val="WenQuanYi Zen Hei"/>
        <family val="2"/>
      </rPr>
      <t xml:space="preserve">공식</t>
    </r>
  </si>
  <si>
    <r>
      <rPr>
        <b val="true"/>
        <sz val="10"/>
        <rFont val="맑은 고딕"/>
        <family val="0"/>
        <charset val="1"/>
      </rPr>
      <t xml:space="preserve">Gemini 3 Flash — </t>
    </r>
    <r>
      <rPr>
        <b val="true"/>
        <sz val="10"/>
        <rFont val="WenQuanYi Zen Hei"/>
        <family val="2"/>
      </rPr>
      <t xml:space="preserve">일반</t>
    </r>
  </si>
  <si>
    <r>
      <rPr>
        <b val="true"/>
        <sz val="10"/>
        <rFont val="맑은 고딕"/>
        <family val="0"/>
        <charset val="1"/>
      </rPr>
      <t xml:space="preserve">Breeze — </t>
    </r>
    <r>
      <rPr>
        <b val="true"/>
        <sz val="10"/>
        <rFont val="WenQuanYi Zen Hei"/>
        <family val="2"/>
      </rPr>
      <t xml:space="preserve">일반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</si>
  <si>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참고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젠잇은 프로 모델이 채팅당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케이브덕도 비슷한 대역이면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 </t>
    </r>
    <r>
      <rPr>
        <sz val="10"/>
        <rFont val="WenQuanYi Zen Hei"/>
        <family val="2"/>
      </rPr>
      <t xml:space="preserve">수준으로 상위권에 해당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</si>
  <si>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부가 수익원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</t>
    </r>
    <r>
      <rPr>
        <sz val="10"/>
        <rFont val="맑은 고딕"/>
        <family val="0"/>
        <charset val="1"/>
      </rPr>
      <t xml:space="preserve">20%)</t>
    </r>
    <r>
      <rPr>
        <sz val="10"/>
        <rFont val="WenQuanYi Zen Hei"/>
        <family val="2"/>
      </rPr>
      <t xml:space="preserve">이 이미 확정된 만큼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채팅 소모량 하나만 확인되면 케이브덕은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정액제라 비교 불가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넘어옴</t>
    </r>
  </si>
  <si>
    <r>
      <rPr>
        <b val="true"/>
        <sz val="10"/>
        <rFont val="WenQuanYi Zen Hei"/>
        <family val="2"/>
      </rPr>
      <t xml:space="preserve">유료 재화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개의 원화 단가 — 요율의 분모를 원화로 환산하는 기준</t>
    </r>
  </si>
  <si>
    <r>
      <rPr>
        <i val="true"/>
        <sz val="9"/>
        <color rgb="FF595959"/>
        <rFont val="WenQuanYi Zen Hei"/>
        <family val="2"/>
      </rPr>
      <t xml:space="preserve">케이브덕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티팟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둠칫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베이비챗은 모두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유료 재화 단가는 고정하고 할인은 보너스 재화로 지급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 할인율과 실제 단가가 다르므로 유료분</t>
    </r>
    <r>
      <rPr>
        <i val="true"/>
        <sz val="9"/>
        <color rgb="FF595959"/>
        <rFont val="맑은 고딕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보너스분 구분이 중요합니다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</si>
  <si>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</t>
  </si>
  <si>
    <t xml:space="preserve">단가</t>
  </si>
  <si>
    <t xml:space="preserve">근거</t>
  </si>
  <si>
    <t xml:space="preserve">리프</t>
  </si>
  <si>
    <r>
      <rPr>
        <sz val="10"/>
        <rFont val="맑은 고딕"/>
        <family val="0"/>
        <charset val="1"/>
      </rPr>
      <t xml:space="preserve">1.000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</si>
  <si>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</si>
  <si>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t xml:space="preserve">할인은 보너스 리프</t>
  </si>
  <si>
    <t xml:space="preserve">스텔라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</si>
  <si>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</t>
    </r>
  </si>
  <si>
    <t xml:space="preserve">제니</t>
  </si>
  <si>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대량 구매 시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</t>
    </r>
  </si>
  <si>
    <t xml:space="preserve">할인이 단가에 직접 반영</t>
  </si>
  <si>
    <t xml:space="preserve">젬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</si>
  <si>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</si>
  <si>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윙</t>
  </si>
  <si>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구간 동일</t>
    </r>
  </si>
  <si>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</si>
  <si>
    <t xml:space="preserve">플링</t>
  </si>
  <si>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플링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</t>
    </r>
  </si>
  <si>
    <t xml:space="preserve">디젤</t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</si>
  <si>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디젤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</t>
    </r>
  </si>
  <si>
    <t xml:space="preserve">유료 프로챗</t>
  </si>
  <si>
    <r>
      <rPr>
        <sz val="10"/>
        <rFont val="맑은 고딕"/>
        <family val="0"/>
        <charset val="1"/>
      </rPr>
      <t xml:space="preserve">9,500 </t>
    </r>
    <r>
      <rPr>
        <sz val="10"/>
        <rFont val="WenQuanYi Zen Hei"/>
        <family val="2"/>
      </rPr>
      <t xml:space="preserve">프로챗 </t>
    </r>
    <r>
      <rPr>
        <sz val="10"/>
        <rFont val="맑은 고딕"/>
        <family val="0"/>
        <charset val="1"/>
      </rPr>
      <t xml:space="preserve">= 9,500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첫 팩만 </t>
    </r>
    <r>
      <rPr>
        <sz val="10"/>
        <rFont val="맑은 고딕"/>
        <family val="0"/>
        <charset val="1"/>
      </rPr>
      <t xml:space="preserve">0.98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</si>
  <si>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할인은 보너스 프로챗 </t>
    </r>
    <r>
      <rPr>
        <sz val="10"/>
        <rFont val="맑은 고딕"/>
        <family val="0"/>
        <charset val="1"/>
      </rPr>
      <t xml:space="preserve">5~12%</t>
    </r>
  </si>
  <si>
    <r>
      <rPr>
        <sz val="10"/>
        <rFont val="맑은 고딕"/>
        <family val="0"/>
        <charset val="1"/>
      </rPr>
      <t xml:space="preserve">1.250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</si>
  <si>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1,520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= 1,900</t>
    </r>
    <r>
      <rPr>
        <sz val="10"/>
        <rFont val="WenQuanYi Zen Hei"/>
        <family val="2"/>
      </rPr>
      <t xml:space="preserve">원</t>
    </r>
  </si>
  <si>
    <t xml:space="preserve">오브</t>
  </si>
  <si>
    <r>
      <rPr>
        <sz val="10"/>
        <rFont val="맑은 고딕"/>
        <family val="0"/>
        <charset val="1"/>
      </rPr>
      <t xml:space="preserve">1.686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</si>
  <si>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3,500</t>
    </r>
    <r>
      <rPr>
        <sz val="10"/>
        <rFont val="WenQuanYi Zen Hei"/>
        <family val="2"/>
      </rPr>
      <t xml:space="preserve">오브 </t>
    </r>
    <r>
      <rPr>
        <sz val="10"/>
        <rFont val="맑은 고딕"/>
        <family val="0"/>
        <charset val="1"/>
      </rPr>
      <t xml:space="preserve">= 5,900</t>
    </r>
    <r>
      <rPr>
        <sz val="10"/>
        <rFont val="WenQuanYi Zen Hei"/>
        <family val="2"/>
      </rPr>
      <t xml:space="preserve">원</t>
    </r>
  </si>
  <si>
    <t xml:space="preserve">캐롯</t>
  </si>
  <si>
    <r>
      <rPr>
        <sz val="10"/>
        <rFont val="맑은 고딕"/>
        <family val="0"/>
        <charset val="1"/>
      </rPr>
      <t xml:space="preserve">1.800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</si>
  <si>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55,000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99,000</t>
    </r>
    <r>
      <rPr>
        <sz val="10"/>
        <rFont val="WenQuanYi Zen Hei"/>
        <family val="2"/>
      </rPr>
      <t xml:space="preserve">원</t>
    </r>
  </si>
  <si>
    <t xml:space="preserve">전 구간 일정</t>
  </si>
  <si>
    <t xml:space="preserve">포인트</t>
  </si>
  <si>
    <r>
      <rPr>
        <sz val="10"/>
        <rFont val="맑은 고딕"/>
        <family val="0"/>
        <charset val="1"/>
      </rPr>
      <t xml:space="preserve">9.000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</si>
  <si>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= 10</t>
    </r>
    <r>
      <rPr>
        <sz val="10"/>
        <rFont val="WenQuanYi Zen Hei"/>
        <family val="2"/>
      </rPr>
      <t xml:space="preserve">만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</si>
  <si>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공식 확인 필요</t>
  </si>
  <si>
    <t xml:space="preserve">쿠키</t>
  </si>
  <si>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</si>
  <si>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유료 쿠키 실지불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정가는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</si>
  <si>
    <t xml:space="preserve">할인은 보너스 쿠키</t>
  </si>
  <si>
    <t xml:space="preserve">콘</t>
  </si>
  <si>
    <r>
      <rPr>
        <sz val="10"/>
        <rFont val="맑은 고딕"/>
        <family val="0"/>
        <charset val="1"/>
      </rPr>
      <t xml:space="preserve">12.00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</si>
  <si>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1,200</t>
    </r>
    <r>
      <rPr>
        <sz val="10"/>
        <rFont val="WenQuanYi Zen Hei"/>
        <family val="2"/>
      </rPr>
      <t xml:space="preserve">원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</si>
  <si>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</si>
  <si>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</si>
  <si>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</si>
  <si>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</si>
  <si>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</si>
  <si>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</si>
  <si>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</si>
  <si>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</si>
  <si>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</si>
  <si>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</si>
  <si>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</si>
  <si>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</si>
  <si>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</si>
  <si>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</si>
  <si>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</si>
  <si>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</si>
  <si>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</si>
  <si>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</si>
  <si>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</si>
  <si>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</si>
  <si>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</si>
  <si>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</si>
  <si>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</si>
  <si>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</si>
  <si>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</si>
  <si>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</si>
  <si>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</si>
  <si>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</si>
  <si>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</si>
  <si>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</si>
  <si>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</si>
  <si>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</si>
  <si>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</si>
  <si>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</si>
  <si>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</si>
  <si>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</si>
  <si>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</si>
  <si>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</si>
  <si>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</si>
  <si>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</si>
  <si>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</si>
  <si>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</si>
  <si>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</si>
  <si>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</si>
  <si>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</si>
  <si>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</si>
  <si>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</si>
  <si>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</si>
  <si>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</si>
  <si>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</si>
  <si>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</si>
  <si>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</si>
  <si>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</si>
  <si>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</si>
  <si>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</si>
  <si>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</si>
  <si>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</si>
  <si>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</si>
  <si>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</si>
  <si>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</si>
  <si>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</si>
  <si>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</si>
  <si>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</si>
  <si>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</si>
  <si>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</si>
  <si>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</si>
  <si>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</si>
  <si>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</si>
  <si>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</si>
  <si>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</si>
  <si>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</si>
  <si>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</si>
  <si>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</si>
  <si>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</si>
  <si>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</si>
  <si>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</si>
  <si>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</si>
  <si>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</si>
  <si>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</si>
  <si>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</si>
  <si>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</si>
  <si>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</si>
  <si>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</si>
  <si>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</si>
  <si>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</si>
  <si>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</si>
  <si>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</si>
  <si>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</si>
  <si>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</si>
  <si>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</si>
  <si>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</si>
  <si>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</si>
  <si>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</si>
  <si>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</si>
  <si>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</si>
  <si>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</si>
  <si>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</si>
  <si>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</si>
  <si>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</si>
  <si>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</si>
  <si>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</si>
  <si>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</si>
  <si>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</si>
  <si>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</si>
  <si>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</si>
  <si>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</si>
  <si>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</si>
  <si>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</si>
  <si>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</si>
  <si>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</si>
  <si>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</si>
  <si>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</si>
  <si>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</si>
  <si>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</si>
  <si>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</si>
  <si>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</si>
  <si>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</si>
  <si>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</si>
  <si>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</si>
  <si>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</si>
  <si>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</si>
  <si>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</si>
  <si>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</si>
  <si>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</si>
  <si>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</si>
  <si>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</si>
  <si>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</si>
  <si>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</si>
  <si>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</si>
  <si>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</si>
  <si>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</si>
  <si>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</si>
  <si>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</si>
  <si>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</si>
  <si>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</si>
  <si>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</si>
  <si>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</si>
  <si>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</si>
  <si>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</si>
  <si>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</si>
  <si>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</si>
  <si>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</si>
  <si>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</si>
  <si>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</si>
  <si>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</si>
  <si>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</si>
  <si>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</si>
  <si>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</si>
  <si>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</si>
  <si>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</si>
  <si>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</si>
  <si>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</si>
  <si>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</si>
  <si>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</si>
  <si>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</si>
  <si>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</si>
  <si>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</si>
  <si>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</si>
  <si>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</si>
  <si>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</si>
  <si>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</si>
  <si>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</si>
  <si>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</si>
  <si>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</si>
  <si>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</si>
  <si>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</si>
  <si>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</si>
  <si>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</si>
  <si>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</si>
  <si>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</si>
  <si>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</si>
  <si>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</si>
  <si>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</si>
  <si>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</si>
  <si>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</si>
  <si>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</si>
  <si>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</si>
  <si>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</si>
  <si>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</si>
  <si>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</si>
  <si>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</si>
  <si>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</si>
  <si>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</si>
  <si>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</si>
  <si>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</si>
  <si>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</si>
  <si>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</si>
  <si>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</si>
  <si>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</si>
  <si>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</si>
  <si>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</si>
  <si>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</si>
  <si>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</si>
  <si>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</si>
  <si>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계약 크리에이터 제도 문서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커뮤니티 수집 정보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지원 내용</t>
    </r>
    <r>
      <rPr>
        <sz val="10"/>
        <rFont val="맑은 고딕"/>
        <family val="0"/>
        <charset val="1"/>
      </rPr>
      <t xml:space="preserve">)</t>
    </r>
  </si>
  <si>
    <t xml:space="preserve">사용자 확인</t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</si>
  <si>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</si>
  <si>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</si>
  <si>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</si>
  <si>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</si>
  <si>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</si>
  <si>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</si>
  <si>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</si>
  <si>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</si>
  <si>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</si>
  <si>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</si>
  <si>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</si>
  <si>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</si>
  <si>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</si>
  <si>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</si>
  <si>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</si>
  <si>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</si>
  <si>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</si>
  <si>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b val="true"/>
        <sz val="10"/>
        <rFont val="WenQuanYi Zen Hei"/>
        <family val="2"/>
      </rPr>
      <t xml:space="preserve">팅글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모수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</si>
  <si>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고객센터 답변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</si>
  <si>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사용자 문의 결과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</si>
  <si>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등급표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안내</t>
    </r>
  </si>
  <si>
    <t xml:space="preserve">rofan.ai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</si>
  <si>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(</t>
    </r>
    <r>
      <rPr>
        <b val="true"/>
        <sz val="10"/>
        <rFont val="WenQuanYi Zen Hei"/>
        <family val="2"/>
      </rPr>
      <t xml:space="preserve">실질 회수율</t>
    </r>
    <r>
      <rPr>
        <b val="true"/>
        <sz val="10"/>
        <rFont val="맑은 고딕"/>
        <family val="0"/>
        <charset val="1"/>
      </rPr>
      <t xml:space="preserve">)</t>
    </r>
  </si>
  <si>
    <t xml:space="preserve">커뮤니티 참고글 — 작성자가 데이터 오염 가능성 명시</t>
  </si>
  <si>
    <r>
      <rPr>
        <sz val="10"/>
        <rFont val="맑은 고딕"/>
        <family val="0"/>
        <charset val="1"/>
      </rPr>
      <t xml:space="preserve">dcinside aiotomechatting </t>
    </r>
    <r>
      <rPr>
        <sz val="10"/>
        <rFont val="WenQuanYi Zen Hei"/>
        <family val="2"/>
      </rPr>
      <t xml:space="preserve">갤러리 </t>
    </r>
    <r>
      <rPr>
        <sz val="10"/>
        <rFont val="맑은 고딕"/>
        <family val="0"/>
        <charset val="1"/>
      </rPr>
      <t xml:space="preserve">no.9036 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</si>
  <si>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이달의 라이징</t>
    </r>
    <r>
      <rPr>
        <sz val="10"/>
        <rFont val="맑은 고딕"/>
        <family val="0"/>
        <charset val="1"/>
      </rPr>
      <t xml:space="preserve">(Rising) </t>
    </r>
    <r>
      <rPr>
        <sz val="10"/>
        <rFont val="WenQuanYi Zen Hei"/>
        <family val="2"/>
      </rPr>
      <t xml:space="preserve">안내</t>
    </r>
    <r>
      <rPr>
        <sz val="10"/>
        <rFont val="맑은 고딕"/>
        <family val="0"/>
        <charset val="1"/>
      </rPr>
      <t xml:space="preserve">'(2026-05-31) / '</t>
    </r>
    <r>
      <rPr>
        <sz val="10"/>
        <rFont val="WenQuanYi Zen Hei"/>
        <family val="2"/>
      </rPr>
      <t xml:space="preserve">멜팅 크리에이터 제도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</si>
  <si>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</si>
  <si>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</si>
  <si>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</si>
  <si>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</si>
  <si>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</si>
  <si>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</si>
  <si>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</si>
  <si>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</si>
  <si>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</si>
  <si>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</si>
  <si>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</si>
  <si>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</si>
  <si>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</si>
  <si>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</si>
  <si>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</si>
  <si>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</si>
  <si>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</si>
  <si>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</si>
  <si>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</si>
  <si>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</si>
  <si>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</si>
  <si>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</si>
  <si>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</si>
  <si>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</si>
  <si>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</si>
  <si>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</si>
  <si>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</si>
  <si>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</si>
  <si>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</si>
  <si>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</si>
  <si>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</si>
  <si>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r>
      <rPr>
        <sz val="10"/>
        <rFont val="WenQuanYi Zen Hei"/>
        <family val="2"/>
      </rPr>
      <t xml:space="preserve">커뮤니티 게시물은 골드 </t>
    </r>
    <r>
      <rPr>
        <sz val="10"/>
        <rFont val="맑은 고딕"/>
        <family val="0"/>
        <charset val="1"/>
      </rPr>
      <t xml:space="preserve">50%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60%</t>
    </r>
    <r>
      <rPr>
        <sz val="10"/>
        <rFont val="WenQuanYi Zen Hei"/>
        <family val="2"/>
      </rPr>
      <t xml:space="preserve">로 가정했으나 공식 등급표는 골드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50%</t>
    </r>
  </si>
  <si>
    <r>
      <rPr>
        <sz val="10"/>
        <rFont val="WenQuanYi Zen Hei"/>
        <family val="2"/>
      </rPr>
      <t xml:space="preserve">공식 등급표를 채택하고 실질 회수율을 재계산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게시물이 </t>
    </r>
    <r>
      <rPr>
        <sz val="10"/>
        <rFont val="맑은 고딕"/>
        <family val="0"/>
        <charset val="1"/>
      </rPr>
      <t xml:space="preserve">10%p </t>
    </r>
    <r>
      <rPr>
        <sz val="10"/>
        <rFont val="WenQuanYi Zen Hei"/>
        <family val="2"/>
      </rPr>
      <t xml:space="preserve">등차로 추정한 것으로 보임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</si>
  <si>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</si>
  <si>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</si>
  <si>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</si>
  <si>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</si>
  <si>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</si>
  <si>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</si>
  <si>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</si>
  <si>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</si>
  <si>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</si>
  <si>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</si>
  <si>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</si>
  <si>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</si>
  <si>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</si>
  <si>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</si>
  <si>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</si>
  <si>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</si>
  <si>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t xml:space="preserve">크레딧 충전 가격표</t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</si>
  <si>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</si>
  <si>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</si>
  <si>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</si>
  <si>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</si>
  <si>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</si>
  <si>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</si>
  <si>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</si>
  <si>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</si>
  <si>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윙 소모량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</si>
  <si>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 정산율 확정의 마지막 값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확정돼 소모량만 알면 유저 결제액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바로 나옴</t>
    </r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</si>
  <si>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재화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사용분이 인센티브 적립 대상인지</t>
    </r>
  </si>
  <si>
    <t xml:space="preserve">적립 모수 확정</t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</si>
  <si>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</si>
  <si>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</si>
  <si>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</si>
  <si>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</si>
  <si>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</si>
  <si>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</si>
  <si>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</si>
  <si>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</si>
  <si>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</si>
  <si>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</si>
  <si>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</si>
  <si>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</si>
  <si>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</si>
  <si>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</si>
  <si>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</si>
  <si>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</si>
  <si>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</si>
  <si>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</si>
  <si>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</si>
  <si>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</si>
  <si>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</si>
  <si>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</si>
  <si>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</si>
  <si>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</si>
  <si>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</si>
  <si>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</si>
  <si>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</si>
  <si>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</si>
  <si>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</si>
  <si>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</si>
  <si>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</si>
  <si>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</si>
  <si>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</si>
  <si>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</si>
  <si>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</si>
  <si>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</si>
  <si>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</si>
  <si>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</si>
  <si>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</si>
  <si>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</si>
  <si>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</si>
  <si>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</si>
  <si>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</si>
  <si>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</si>
  <si>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</si>
  <si>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</si>
  <si>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</si>
  <si>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</si>
  <si>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</si>
  <si>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</si>
  <si>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</si>
  <si>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</si>
  <si>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</si>
  <si>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</si>
  <si>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</si>
  <si>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</si>
  <si>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</si>
  <si>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</si>
  <si>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</si>
  <si>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</si>
  <si>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</si>
  <si>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</si>
  <si>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</si>
  <si>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</si>
  <si>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</si>
  <si>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</si>
  <si>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</si>
  <si>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</si>
  <si>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</si>
  <si>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</si>
  <si>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</si>
  <si>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</si>
  <si>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</si>
  <si>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r>
      <rPr>
        <sz val="10"/>
        <rFont val="WenQuanYi Zen Hei"/>
        <family val="2"/>
      </rPr>
      <t xml:space="preserve">인센티브 지급 형태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현금인지 재화인지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</si>
  <si>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캐롯 </t>
    </r>
    <r>
      <rPr>
        <sz val="10"/>
        <rFont val="맑은 고딕"/>
        <family val="0"/>
        <charset val="1"/>
      </rPr>
      <t xml:space="preserve">= 1.8</t>
    </r>
    <r>
      <rPr>
        <sz val="10"/>
        <rFont val="WenQuanYi Zen Hei"/>
        <family val="2"/>
      </rPr>
      <t xml:space="preserve">원이 확정되어 지급 형태만 알면 실질 확정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</si>
  <si>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</si>
  <si>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</si>
  <si>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</si>
  <si>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</si>
  <si>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</si>
  <si>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</si>
  <si>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</si>
  <si>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</si>
  <si>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</si>
  <si>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</si>
  <si>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팅글의 마진율</t>
  </si>
  <si>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실질을 결정하는 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영업 정보라 공개 가능성은 낮음 — 크리에이터 실수령 사례로 역산하는 편이 현실적</t>
    </r>
  </si>
  <si>
    <t xml:space="preserve">마진 산정에 포함되는 원가 항목</t>
  </si>
  <si>
    <r>
      <rPr>
        <sz val="10"/>
        <rFont val="WenQuanYi Zen Hei"/>
        <family val="2"/>
      </rPr>
      <t xml:space="preserve">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중 무엇까지 빼는지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</si>
  <si>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</si>
  <si>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</si>
  <si>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</si>
  <si>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</si>
  <si>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</si>
  <si>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</si>
  <si>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</si>
  <si>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</si>
  <si>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</si>
  <si>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</si>
  <si>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</si>
  <si>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</si>
  <si>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</si>
  <si>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앰배서더 크리에이터 정산율</t>
  </si>
  <si>
    <t xml:space="preserve">계약 비공개</t>
  </si>
  <si>
    <r>
      <rPr>
        <sz val="10"/>
        <rFont val="WenQuanYi Zen Hei"/>
        <family val="2"/>
      </rPr>
      <t xml:space="preserve">앰배서더 크리에이터의 정산율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계약 조건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</si>
  <si>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계약을 통해 진행되어 공개되지 않습니다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</si>
  <si>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멜팅온리의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</si>
  <si>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 조건 규정이 문서에 없음</t>
  </si>
  <si>
    <r>
      <rPr>
        <sz val="10"/>
        <rFont val="WenQuanYi Zen Hei"/>
        <family val="2"/>
      </rPr>
      <t xml:space="preserve">최소 출금액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주기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창작 지원금의 금액과 조건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</si>
  <si>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</si>
  <si>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</si>
  <si>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</si>
  <si>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</si>
  <si>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</si>
  <si>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</si>
  <si>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</si>
  <si>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</si>
  <si>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</si>
  <si>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</si>
  <si>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</si>
  <si>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</si>
  <si>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</si>
  <si>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</si>
  <si>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</si>
  <si>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</si>
  <si>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</si>
  <si>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</si>
  <si>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</si>
  <si>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</si>
  <si>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</si>
  <si>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</si>
  <si>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</si>
  <si>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</si>
  <si>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</si>
  <si>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</si>
  <si>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</si>
  <si>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</si>
  <si>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</si>
  <si>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</si>
  <si>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</si>
  <si>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</si>
  <si>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</si>
  <si>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</si>
  <si>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</si>
  <si>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</si>
  <si>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</si>
  <si>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</si>
  <si>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</si>
  <si>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</si>
  <si>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</si>
  <si>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</si>
  <si>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</si>
  <si>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</si>
  <si>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</si>
  <si>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</si>
  <si>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</si>
  <si>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</si>
  <si>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</si>
  <si>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</si>
  <si>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</si>
  <si>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</si>
  <si>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</si>
  <si>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</si>
  <si>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</si>
  <si>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종이 확보되어 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멜팅의 실질이 확정됐다</t>
    </r>
  </si>
  <si>
    <r>
      <rPr>
        <sz val="10"/>
        <rFont val="WenQuanYi Zen Hei"/>
        <family val="2"/>
      </rPr>
      <t xml:space="preserve">베이비챗 유료 프로챗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→ 베리 </t>
    </r>
    <r>
      <rPr>
        <sz val="10"/>
        <rFont val="맑은 고딕"/>
        <family val="0"/>
        <charset val="1"/>
      </rPr>
      <t xml:space="preserve">10~23%</t>
    </r>
    <r>
      <rPr>
        <sz val="10"/>
        <rFont val="WenQuanYi Zen Hei"/>
        <family val="2"/>
      </rPr>
      <t xml:space="preserve">의 실질이 </t>
    </r>
    <r>
      <rPr>
        <sz val="10"/>
        <rFont val="맑은 고딕"/>
        <family val="0"/>
        <charset val="1"/>
      </rPr>
      <t xml:space="preserve">1.0~2.3%</t>
    </r>
    <r>
      <rPr>
        <sz val="10"/>
        <rFont val="WenQuanYi Zen Hei"/>
        <family val="2"/>
      </rPr>
      <t xml:space="preserve">로 확정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추정과 일치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멜팅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콘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 → 현금 수령 시 </t>
    </r>
    <r>
      <rPr>
        <sz val="10"/>
        <rFont val="맑은 고딕"/>
        <family val="0"/>
        <charset val="1"/>
      </rPr>
      <t xml:space="preserve">1.0%(</t>
    </r>
    <r>
      <rPr>
        <sz val="10"/>
        <rFont val="WenQuanYi Zen Hei"/>
        <family val="2"/>
      </rPr>
      <t xml:space="preserve">기본</t>
    </r>
    <r>
      <rPr>
        <sz val="10"/>
        <rFont val="맑은 고딕"/>
        <family val="0"/>
        <charset val="1"/>
      </rPr>
      <t xml:space="preserve">)·1.5%(</t>
    </r>
    <r>
      <rPr>
        <sz val="10"/>
        <rFont val="WenQuanYi Zen Hei"/>
        <family val="2"/>
      </rPr>
      <t xml:space="preserve">멜팅온리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콘 수령 시 </t>
    </r>
    <r>
      <rPr>
        <sz val="10"/>
        <rFont val="맑은 고딕"/>
        <family val="0"/>
        <charset val="1"/>
      </rPr>
      <t xml:space="preserve">2.0%·3.0%</t>
    </r>
  </si>
  <si>
    <r>
      <rPr>
        <sz val="10"/>
        <rFont val="WenQuanYi Zen Hei"/>
        <family val="2"/>
      </rPr>
      <t xml:space="preserve">둘 다 하위권으로 확정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노릴 이탈 풀이 여기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두 곳 모두 표기 요율</t>
    </r>
    <r>
      <rPr>
        <sz val="10"/>
        <rFont val="맑은 고딕"/>
        <family val="0"/>
        <charset val="1"/>
      </rPr>
      <t xml:space="preserve">(10~23%, 1~3%)</t>
    </r>
    <r>
      <rPr>
        <sz val="10"/>
        <rFont val="WenQuanYi Zen Hei"/>
        <family val="2"/>
      </rPr>
      <t xml:space="preserve">만 보면 실제 수준을 알 수 없게 돼 있음</t>
    </r>
  </si>
  <si>
    <t xml:space="preserve">유료 재화 단가를 고정하고 할인은 보너스로 주는 것이 업계 공통 패턴이다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</si>
  <si>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할인 없음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쿠키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고정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유료 프로챗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보너스 </t>
    </r>
    <r>
      <rPr>
        <sz val="10"/>
        <rFont val="맑은 고딕"/>
        <family val="0"/>
        <charset val="1"/>
      </rPr>
      <t xml:space="preserve">5~12%) </t>
    </r>
    <r>
      <rPr>
        <sz val="10"/>
        <rFont val="WenQuanYi Zen Hei"/>
        <family val="2"/>
      </rPr>
      <t xml:space="preserve">모두 동일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단가에 직접 할인 반영</t>
    </r>
    <r>
      <rPr>
        <sz val="10"/>
        <rFont val="맑은 고딕"/>
        <family val="0"/>
        <charset val="1"/>
      </rPr>
      <t xml:space="preserve">(1 → 0.91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</si>
  <si>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정산 모수를 볼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구분이 중요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보너스 재화가 정산 대상인지 아닌지에 따라 크리에이터 수입이 달라지는데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이를 명시한 곳은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둠칫뿐</t>
    </r>
  </si>
  <si>
    <r>
      <rPr>
        <sz val="10"/>
        <rFont val="WenQuanYi Zen Hei"/>
        <family val="2"/>
      </rPr>
      <t xml:space="preserve">케이브덕은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 확정되어 부가 수익원 정산율이 나왔다</t>
    </r>
  </si>
  <si>
    <r>
      <rPr>
        <sz val="10"/>
        <rFont val="WenQuanYi Zen Hei"/>
        <family val="2"/>
      </rPr>
      <t xml:space="preserve">윙 상품이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 없음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이미지 잠금 해제 </t>
    </r>
    <r>
      <rPr>
        <sz val="10"/>
        <rFont val="맑은 고딕"/>
        <family val="0"/>
        <charset val="1"/>
      </rPr>
      <t xml:space="preserve">30% · </t>
    </r>
    <r>
      <rPr>
        <sz val="10"/>
        <rFont val="WenQuanYi Zen Hei"/>
        <family val="2"/>
      </rPr>
      <t xml:space="preserve">스토리 유료 회차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슈퍼보이스 </t>
    </r>
    <r>
      <rPr>
        <sz val="10"/>
        <rFont val="맑은 고딕"/>
        <family val="0"/>
        <charset val="1"/>
      </rPr>
      <t xml:space="preserve">6% · </t>
    </r>
    <r>
      <rPr>
        <sz val="10"/>
        <rFont val="WenQuanYi Zen Hei"/>
        <family val="2"/>
      </rPr>
      <t xml:space="preserve">스냅샷 </t>
    </r>
    <r>
      <rPr>
        <sz val="10"/>
        <rFont val="맑은 고딕"/>
        <family val="0"/>
        <charset val="1"/>
      </rPr>
      <t xml:space="preserve">4% · </t>
    </r>
    <r>
      <rPr>
        <sz val="10"/>
        <rFont val="WenQuanYi Zen Hei"/>
        <family val="2"/>
      </rPr>
      <t xml:space="preserve">윙 선물 </t>
    </r>
    <r>
      <rPr>
        <sz val="10"/>
        <rFont val="맑은 고딕"/>
        <family val="0"/>
        <charset val="1"/>
      </rPr>
      <t xml:space="preserve">80%(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90%)</t>
    </r>
  </si>
  <si>
    <r>
      <rPr>
        <sz val="10"/>
        <rFont val="WenQuanYi Zen Hei"/>
        <family val="2"/>
      </rPr>
      <t xml:space="preserve">크리에이터 창작물은 높게</t>
    </r>
    <r>
      <rPr>
        <sz val="10"/>
        <rFont val="맑은 고딕"/>
        <family val="0"/>
        <charset val="1"/>
      </rPr>
      <t xml:space="preserve">, AI </t>
    </r>
    <r>
      <rPr>
        <sz val="10"/>
        <rFont val="WenQuanYi Zen Hei"/>
        <family val="2"/>
      </rPr>
      <t xml:space="preserve">생성 원가가 드는 기능은 낮게 배분하는 원가 연동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부가 수익원을 여러 개 둘 때 참고할 배분 패턴</t>
    </r>
  </si>
  <si>
    <t xml:space="preserve">케이브덕 채팅 정산율은 미지수 하나만 남았다</t>
  </si>
  <si>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% = (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×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÷ </t>
    </r>
    <r>
      <rPr>
        <sz val="10"/>
        <rFont val="WenQuanYi Zen Hei"/>
        <family val="2"/>
      </rPr>
      <t xml:space="preserve">채팅당 소모 윙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윙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원이라 소모 윙 수가 곧 유저 지불액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소모량이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15% /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16.5%, 100</t>
    </r>
    <r>
      <rPr>
        <sz val="10"/>
        <rFont val="WenQuanYi Zen Hei"/>
        <family val="2"/>
      </rPr>
      <t xml:space="preserve">윙이면 </t>
    </r>
    <r>
      <rPr>
        <sz val="10"/>
        <rFont val="맑은 고딕"/>
        <family val="0"/>
        <charset val="1"/>
      </rPr>
      <t xml:space="preserve">12% / 13.2%</t>
    </r>
  </si>
  <si>
    <r>
      <rPr>
        <sz val="10"/>
        <rFont val="WenQuanYi Zen Hei"/>
        <family val="2"/>
      </rPr>
      <t xml:space="preserve">앱에서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전후 윙 잔량만 비교하면 확정됨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미확인 목록에서 가장 값싸게 해결되는 항목이며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확정 시 케이브덕이 상위권으로 올라올 가능성이 큼</t>
    </r>
  </si>
  <si>
    <t xml:space="preserve">멜팅은 경쟁사 유도 행위를 명시적 제재 사유로 두었다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</si>
  <si>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멜팅 크리에이터 또는 이용자를 타 경쟁 플랫폼으로 유도하는 행위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파트너 크리에이터 자격 해지 검토 사유이자 창작자 단계 유의사항에 포함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유일</t>
    </r>
  </si>
  <si>
    <r>
      <rPr>
        <sz val="10"/>
        <rFont val="WenQuanYi Zen Hei"/>
        <family val="2"/>
      </rPr>
      <t xml:space="preserve">크플이 멜팅 크리에이터를 유치할 때 해당 크리에이터가 제재 대상이 될 수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접촉 방식을 설계할 때 반드시 고려해야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크플이 같은 조항을 두면 크리에이터에게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가둬두려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인상을 줌</t>
    </r>
  </si>
  <si>
    <r>
      <rPr>
        <sz val="10"/>
        <rFont val="WenQuanYi Zen Hei"/>
        <family val="2"/>
      </rPr>
      <t xml:space="preserve">멜팅은 현금화를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 뒤에 두었다 — 조사 대상 중 가장 깊음</t>
    </r>
  </si>
  <si>
    <r>
      <rPr>
        <sz val="10"/>
        <rFont val="WenQuanYi Zen Hei"/>
        <family val="2"/>
      </rPr>
      <t xml:space="preserve">창작자 →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콘 교환만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파트너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출금 시작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파트너 자격은 라이징 캐릭터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라이징은 월 최대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개만 선정되는 공모전이라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확보 자체가 장기전</t>
    </r>
  </si>
  <si>
    <r>
      <rPr>
        <sz val="10"/>
        <rFont val="WenQuanYi Zen Hei"/>
        <family val="2"/>
      </rPr>
      <t xml:space="preserve">현금까지의 거리가 가장 먼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단계 크리에이터는 사실상 플랫폼 재화만 받음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지급을 앞당기면 멜팅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 풀에 직접 소구 가능</t>
    </r>
  </si>
  <si>
    <t xml:space="preserve">멜팅은 유지 의무를 현금 출금과 직접 연동했다</t>
  </si>
  <si>
    <r>
      <rPr>
        <sz val="10"/>
        <rFont val="WenQuanYi Zen Hei"/>
        <family val="2"/>
      </rPr>
      <t xml:space="preserve">파트너는 매월 신규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이상 공개 의무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미충족 시 현금 출금 중단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포인트 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피처드는 유지</t>
    </r>
    <r>
      <rPr>
        <sz val="10"/>
        <rFont val="맑은 고딕"/>
        <family val="0"/>
        <charset val="1"/>
      </rPr>
      <t xml:space="preserve">), 4</t>
    </r>
    <r>
      <rPr>
        <sz val="10"/>
        <rFont val="WenQuanYi Zen Hei"/>
        <family val="2"/>
      </rPr>
      <t xml:space="preserve">개월째 미공개면 자격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라이징 캐릭터 전부 박탈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복귀는 연속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매월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</si>
  <si>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6</t>
    </r>
    <r>
      <rPr>
        <sz val="10"/>
        <rFont val="WenQuanYi Zen Hei"/>
        <family val="2"/>
      </rPr>
      <t xml:space="preserve">개월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보다 훨씬 무거움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적립 포인트는 소멸시키지 않고 자격 회복 시 전액 출금 재개 — 의무는 강하게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자산은 보호하는 절충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유지 조건을 둔다면 이 형태가 참고할 만함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</si>
  <si>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</si>
  <si>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</si>
  <si>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</si>
  <si>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</si>
  <si>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</si>
  <si>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</si>
  <si>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r>
      <rPr>
        <sz val="10"/>
        <rFont val="WenQuanYi Zen Hei"/>
        <family val="2"/>
      </rPr>
      <t xml:space="preserve">높은 표기 요율은 실제로 낮은 실질을 가린다 —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에서 확인됨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</si>
  <si>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표기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이지만 제보 기준 유저 결제액 대비 실질 현금 회수율이 약 </t>
    </r>
    <r>
      <rPr>
        <sz val="10"/>
        <rFont val="맑은 고딕"/>
        <family val="0"/>
        <charset val="1"/>
      </rPr>
      <t xml:space="preserve">2.13%.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개의 현금 가치가 </t>
    </r>
    <r>
      <rPr>
        <sz val="10"/>
        <rFont val="맑은 고딕"/>
        <family val="0"/>
        <charset val="1"/>
      </rPr>
      <t xml:space="preserve">0.64</t>
    </r>
    <r>
      <rPr>
        <sz val="10"/>
        <rFont val="WenQuanYi Zen Hei"/>
        <family val="2"/>
      </rPr>
      <t xml:space="preserve">원인데 유저 측 포인트는 </t>
    </r>
    <r>
      <rPr>
        <sz val="10"/>
        <rFont val="맑은 고딕"/>
        <family val="0"/>
        <charset val="1"/>
      </rPr>
      <t xml:space="preserve">9</t>
    </r>
    <r>
      <rPr>
        <sz val="10"/>
        <rFont val="WenQuanYi Zen Hei"/>
        <family val="2"/>
      </rPr>
      <t xml:space="preserve">원이라 크레딧 → 현금 단계에서 대부분 깎임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격차 약 </t>
    </r>
    <r>
      <rPr>
        <sz val="10"/>
        <rFont val="맑은 고딕"/>
        <family val="0"/>
        <charset val="1"/>
      </rPr>
      <t xml:space="preserve">14</t>
    </r>
    <r>
      <rPr>
        <sz val="10"/>
        <rFont val="WenQuanYi Zen Hei"/>
        <family val="2"/>
      </rPr>
      <t xml:space="preserve">배로 베이비챗</t>
    </r>
    <r>
      <rPr>
        <sz val="10"/>
        <rFont val="맑은 고딕"/>
        <family val="0"/>
        <charset val="1"/>
      </rPr>
      <t xml:space="preserve">(1/10)·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(1/3.3)</t>
    </r>
    <r>
      <rPr>
        <sz val="10"/>
        <rFont val="WenQuanYi Zen Hei"/>
        <family val="2"/>
      </rPr>
      <t xml:space="preserve">보다 큼</t>
    </r>
  </si>
  <si>
    <r>
      <rPr>
        <sz val="10"/>
        <rFont val="WenQuanYi Zen Hei"/>
        <family val="2"/>
      </rPr>
      <t xml:space="preserve">표기 요율 순위와 실질 순위가 뒤집히는 결정적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비교 자료에는 표기와 실질을 반드시 병기하고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 자신도 감액 단계를 두지 않으면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것만으로 강한 신뢰 자산이 됨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</si>
  <si>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파트너 등급은 조건이 무거운데 실질 상승 폭은 작다</t>
    </r>
  </si>
  <si>
    <r>
      <rPr>
        <sz val="10"/>
        <rFont val="WenQuanYi Zen Hei"/>
        <family val="2"/>
      </rPr>
      <t xml:space="preserve">실버 팔로워 </t>
    </r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+R ONLY 15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대화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40% / </t>
    </r>
    <r>
      <rPr>
        <sz val="10"/>
        <rFont val="WenQuanYi Zen Hei"/>
        <family val="2"/>
      </rPr>
      <t xml:space="preserve">골드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+30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+100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45% / </t>
    </r>
    <r>
      <rPr>
        <sz val="10"/>
        <rFont val="WenQuanYi Zen Hei"/>
        <family val="2"/>
      </rPr>
      <t xml:space="preserve">플래티넘 </t>
    </r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+40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+500</t>
    </r>
    <r>
      <rPr>
        <sz val="10"/>
        <rFont val="WenQuanYi Zen Hei"/>
        <family val="2"/>
      </rPr>
      <t xml:space="preserve">만 → </t>
    </r>
    <r>
      <rPr>
        <sz val="10"/>
        <rFont val="맑은 고딕"/>
        <family val="0"/>
        <charset val="1"/>
      </rPr>
      <t xml:space="preserve">50%. </t>
    </r>
    <r>
      <rPr>
        <sz val="10"/>
        <rFont val="WenQuanYi Zen Hei"/>
        <family val="2"/>
      </rPr>
      <t xml:space="preserve">표기로는 </t>
    </r>
    <r>
      <rPr>
        <sz val="10"/>
        <rFont val="맑은 고딕"/>
        <family val="0"/>
        <charset val="1"/>
      </rPr>
      <t xml:space="preserve">30%→50%</t>
    </r>
    <r>
      <rPr>
        <sz val="10"/>
        <rFont val="WenQuanYi Zen Hei"/>
        <family val="2"/>
      </rPr>
      <t xml:space="preserve">지만 제보 기준 실질은 </t>
    </r>
    <r>
      <rPr>
        <sz val="10"/>
        <rFont val="맑은 고딕"/>
        <family val="0"/>
        <charset val="1"/>
      </rPr>
      <t xml:space="preserve">2.13% → 3.56%,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1.43%p </t>
    </r>
    <r>
      <rPr>
        <sz val="10"/>
        <rFont val="WenQuanYi Zen Hei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</si>
  <si>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R ONLY </t>
    </r>
    <r>
      <rPr>
        <sz val="10"/>
        <rFont val="WenQuanYi Zen Hei"/>
        <family val="2"/>
      </rPr>
      <t xml:space="preserve">캐릭터를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개까지 쌓고 누적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만을 달성해도 실질 회수율은 </t>
    </r>
    <r>
      <rPr>
        <sz val="10"/>
        <rFont val="맑은 고딕"/>
        <family val="0"/>
        <charset val="1"/>
      </rPr>
      <t xml:space="preserve">3.6% </t>
    </r>
    <r>
      <rPr>
        <sz val="10"/>
        <rFont val="WenQuanYi Zen Hei"/>
        <family val="2"/>
      </rPr>
      <t xml:space="preserve">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요구 조건 대비 보상이 얇은 구조이며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파고들 수 있는 지점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</si>
  <si>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마진의 </t>
    </r>
    <r>
      <rPr>
        <sz val="10"/>
        <rFont val="맑은 고딕"/>
        <family val="0"/>
        <charset val="1"/>
      </rPr>
      <t xml:space="preserve">20%'</t>
    </r>
    <r>
      <rPr>
        <sz val="10"/>
        <rFont val="WenQuanYi Zen Hei"/>
        <family val="2"/>
      </rPr>
      <t xml:space="preserve">였다 — 표기 최고에서 비교 불가로 내려감</t>
    </r>
  </si>
  <si>
    <r>
      <rPr>
        <sz val="10"/>
        <rFont val="WenQuanYi Zen Hei"/>
        <family val="2"/>
      </rPr>
      <t xml:space="preserve">고객센터 답변으로 모수가 마진임이 확인됨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총결제액이 아니라 앱마켓 수수료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모델 원가</t>
    </r>
    <r>
      <rPr>
        <sz val="10"/>
        <rFont val="맑은 고딕"/>
        <family val="0"/>
        <charset val="1"/>
      </rPr>
      <t xml:space="preserve">·PG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서버 비용 등을 뺀 나머지의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마진율 </t>
    </r>
    <r>
      <rPr>
        <sz val="10"/>
        <rFont val="맑은 고딕"/>
        <family val="0"/>
        <charset val="1"/>
      </rPr>
      <t xml:space="preserve">40%</t>
    </r>
    <r>
      <rPr>
        <sz val="10"/>
        <rFont val="WenQuanYi Zen Hei"/>
        <family val="2"/>
      </rPr>
      <t xml:space="preserve">면 총결제액 대비 </t>
    </r>
    <r>
      <rPr>
        <sz val="10"/>
        <rFont val="맑은 고딕"/>
        <family val="0"/>
        <charset val="1"/>
      </rPr>
      <t xml:space="preserve">8%, 30%</t>
    </r>
    <r>
      <rPr>
        <sz val="10"/>
        <rFont val="WenQuanYi Zen Hei"/>
        <family val="2"/>
      </rPr>
      <t xml:space="preserve">면 </t>
    </r>
    <r>
      <rPr>
        <sz val="10"/>
        <rFont val="맑은 고딕"/>
        <family val="0"/>
        <charset val="1"/>
      </rPr>
      <t xml:space="preserve">6% </t>
    </r>
    <r>
      <rPr>
        <sz val="10"/>
        <rFont val="WenQuanYi Zen Hei"/>
        <family val="2"/>
      </rPr>
      <t xml:space="preserve">수준</t>
    </r>
  </si>
  <si>
    <r>
      <rPr>
        <sz val="10"/>
        <rFont val="WenQuanYi Zen Hei"/>
        <family val="2"/>
      </rPr>
      <t xml:space="preserve">일반 크리에이터 표기 최고 자리는 유니챗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이동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더 중요한 것은 이 사례가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모수를 안 밝힌 요율은 숫자가 아니다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보여준다는 점 — 크플은 요율과 모수를 항상 함께 제시할 것</t>
    </r>
  </si>
  <si>
    <r>
      <rPr>
        <sz val="10"/>
        <rFont val="WenQuanYi Zen Hei"/>
        <family val="2"/>
      </rPr>
      <t xml:space="preserve">모수 유형이 세 갈래이고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마진 기준은 크리에이터가 검증할 수 없다</t>
    </r>
  </si>
  <si>
    <r>
      <rPr>
        <sz val="10"/>
        <rFont val="WenQuanYi Zen Hei"/>
        <family val="2"/>
      </rPr>
      <t xml:space="preserve">① 유저 결제액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재화 단가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② </t>
    </r>
    <r>
      <rPr>
        <sz val="10"/>
        <rFont val="WenQuanYi Zen Hei"/>
        <family val="2"/>
      </rPr>
      <t xml:space="preserve">재화 소모량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 ③ </t>
    </r>
    <r>
      <rPr>
        <sz val="10"/>
        <rFont val="WenQuanYi Zen Hei"/>
        <family val="2"/>
      </rPr>
      <t xml:space="preserve">마진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팅글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모수를 밝힌 곳은 </t>
    </r>
    <r>
      <rPr>
        <sz val="10"/>
        <rFont val="맑은 고딕"/>
        <family val="0"/>
        <charset val="1"/>
      </rPr>
      <t xml:space="preserve">19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곳뿐이고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결제액 대비 비율이 바로 성립하는 곳은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곳뿐</t>
    </r>
  </si>
  <si>
    <r>
      <rPr>
        <sz val="10"/>
        <rFont val="WenQuanYi Zen Hei"/>
        <family val="2"/>
      </rPr>
      <t xml:space="preserve">마진 기준은 플랫폼이 원가를 어떻게 잡느냐에 따라 크리에이터 실수령이 달라지는데 검증 수단이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결제액의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로 모수를 못 박으면 그 자체가 신뢰 차별점 — 티팟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유니챗과 같은 등급에 서게 됨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</si>
  <si>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</si>
  <si>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</si>
  <si>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</si>
  <si>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</si>
  <si>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</si>
  <si>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</si>
  <si>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</si>
  <si>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</si>
  <si>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</si>
  <si>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</si>
  <si>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</si>
  <si>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</si>
  <si>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</si>
  <si>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</si>
  <si>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</si>
  <si>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</si>
  <si>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</si>
  <si>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</si>
  <si>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</si>
  <si>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</si>
  <si>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</si>
  <si>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</si>
  <si>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</si>
  <si>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</si>
  <si>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</si>
  <si>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</si>
  <si>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</si>
  <si>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</si>
  <si>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</si>
  <si>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</si>
  <si>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</si>
  <si>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</si>
  <si>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</si>
  <si>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</si>
  <si>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</si>
  <si>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</si>
  <si>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</si>
  <si>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</si>
  <si>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</si>
  <si>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</si>
  <si>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</si>
  <si>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</si>
  <si>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</si>
  <si>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</si>
  <si>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</si>
  <si>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</si>
  <si>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</si>
  <si>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</si>
  <si>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</si>
  <si>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</si>
  <si>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</si>
  <si>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</si>
  <si>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</si>
  <si>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</si>
  <si>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</si>
  <si>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</si>
  <si>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</si>
  <si>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</si>
  <si>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</si>
  <si>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</si>
  <si>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</si>
  <si>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</si>
  <si>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</si>
  <si>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</si>
  <si>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</si>
  <si>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</si>
  <si>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</si>
  <si>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</si>
  <si>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</si>
  <si>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</si>
  <si>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</si>
  <si>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</si>
  <si>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</si>
  <si>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</si>
  <si>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</si>
  <si>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</si>
  <si>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</si>
  <si>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</si>
  <si>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</si>
  <si>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</si>
  <si>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</si>
  <si>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</si>
  <si>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</si>
  <si>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</si>
  <si>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계약을 맺되 독점은 요구하지 않는다</t>
  </si>
  <si>
    <r>
      <rPr>
        <sz val="10"/>
        <rFont val="WenQuanYi Zen Hei"/>
        <family val="2"/>
      </rPr>
      <t xml:space="preserve">공식 계약 크리에이터 제도를 계약 기반으로 운영하면서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계약에 독점 요구와 독점 방식에 대한 요구가 없다고 문서에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여기에 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콘텐츠 검열도 거의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</si>
  <si>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계약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아님을 보여주는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계약으로 지원 조건을 확정하되 독점은 요구하지 않는 형태이며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입장에서 진입 저항이 가장 낮음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채팅이 무료인데 재원이 어디서 나오는지가 불명이라 지속가능성은 별도 판단 필요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</si>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</sst>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&quot;포인트&quot;"/>
    <numFmt numFmtId="172" formatCode="0.00&quot;원/크레딧&quot;"/>
    <numFmt numFmtId="173" formatCode="#,##0&quot;원 결제&quot;"/>
    <numFmt numFmtId="174" formatCode="#,##0"/>
    <numFmt numFmtId="175" formatCode="#,##0\원"/>
    <numFmt numFmtId="176" formatCode="0.00%"/>
    <numFmt numFmtId="177" formatCode="#,##0.00\원"/>
    <numFmt numFmtId="178" formatCode="0.0%"/>
    <numFmt numFmtId="179" formatCode="#,##0\윙"/>
    <numFmt numFmtId="180" formatCode="#,##0&quot;pt&quot;"/>
    <numFmt numFmtId="181" formatCode="0"/>
    <numFmt numFmtId="182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  <col collapsed="false" customWidth="true" hidden="false" outlineLevel="0" max="20" min="20" style="0" width="4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39.55" hidden="false" customHeight="false" outlineLevel="0" collapsed="false">
      <c r="A6" s="4" t="s">
        <v>23</v>
      </c>
      <c r="B6" s="5" t="s">
        <v>24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5" t="s">
        <v>29</v>
      </c>
      <c r="I6" s="5" t="s">
        <v>30</v>
      </c>
      <c r="J6" s="5" t="s">
        <v>31</v>
      </c>
      <c r="K6" s="5" t="s">
        <v>24</v>
      </c>
      <c r="L6" s="5" t="s">
        <v>32</v>
      </c>
      <c r="M6" s="5" t="s">
        <v>33</v>
      </c>
      <c r="N6" s="5" t="s">
        <v>34</v>
      </c>
      <c r="O6" s="5" t="s">
        <v>35</v>
      </c>
      <c r="P6" s="5" t="s">
        <v>36</v>
      </c>
      <c r="Q6" s="5" t="s">
        <v>37</v>
      </c>
      <c r="R6" s="5" t="s">
        <v>38</v>
      </c>
      <c r="S6" s="5" t="s">
        <v>39</v>
      </c>
      <c r="T6" s="5" t="s">
        <v>40</v>
      </c>
    </row>
    <row r="7" customFormat="false" ht="39.55" hidden="false" customHeight="false" outlineLevel="0" collapsed="false">
      <c r="A7" s="4" t="s">
        <v>41</v>
      </c>
      <c r="B7" s="6" t="s">
        <v>42</v>
      </c>
      <c r="C7" s="6" t="s">
        <v>43</v>
      </c>
      <c r="D7" s="6" t="s">
        <v>43</v>
      </c>
      <c r="E7" s="7" t="s">
        <v>44</v>
      </c>
      <c r="F7" s="7" t="s">
        <v>45</v>
      </c>
      <c r="G7" s="5" t="s">
        <v>46</v>
      </c>
      <c r="H7" s="7" t="s">
        <v>44</v>
      </c>
      <c r="I7" s="5" t="s">
        <v>47</v>
      </c>
      <c r="J7" s="7" t="s">
        <v>44</v>
      </c>
      <c r="K7" s="5" t="s">
        <v>46</v>
      </c>
      <c r="L7" s="7" t="s">
        <v>44</v>
      </c>
      <c r="M7" s="7" t="s">
        <v>48</v>
      </c>
      <c r="N7" s="6" t="s">
        <v>49</v>
      </c>
      <c r="O7" s="5" t="s">
        <v>50</v>
      </c>
      <c r="P7" s="7" t="s">
        <v>51</v>
      </c>
      <c r="Q7" s="7" t="s">
        <v>44</v>
      </c>
      <c r="R7" s="7" t="s">
        <v>44</v>
      </c>
      <c r="S7" s="5" t="s">
        <v>52</v>
      </c>
      <c r="T7" s="5" t="s">
        <v>53</v>
      </c>
    </row>
    <row r="8" customFormat="false" ht="39.55" hidden="false" customHeight="false" outlineLevel="0" collapsed="false">
      <c r="A8" s="8" t="s">
        <v>54</v>
      </c>
      <c r="B8" s="9" t="s">
        <v>55</v>
      </c>
      <c r="C8" s="9" t="s">
        <v>56</v>
      </c>
      <c r="D8" s="9" t="s">
        <v>57</v>
      </c>
      <c r="E8" s="9" t="s">
        <v>58</v>
      </c>
      <c r="F8" s="9" t="s">
        <v>46</v>
      </c>
      <c r="G8" s="9" t="s">
        <v>46</v>
      </c>
      <c r="H8" s="9" t="s">
        <v>46</v>
      </c>
      <c r="I8" s="9" t="s">
        <v>59</v>
      </c>
      <c r="J8" s="9" t="s">
        <v>60</v>
      </c>
      <c r="K8" s="9" t="s">
        <v>61</v>
      </c>
      <c r="L8" s="9" t="s">
        <v>46</v>
      </c>
      <c r="M8" s="9" t="s">
        <v>62</v>
      </c>
      <c r="N8" s="9" t="s">
        <v>63</v>
      </c>
      <c r="O8" s="9" t="s">
        <v>46</v>
      </c>
      <c r="P8" s="9" t="s">
        <v>46</v>
      </c>
      <c r="Q8" s="9" t="s">
        <v>46</v>
      </c>
      <c r="R8" s="9" t="s">
        <v>46</v>
      </c>
      <c r="S8" s="9" t="s">
        <v>64</v>
      </c>
      <c r="T8" s="9" t="s">
        <v>65</v>
      </c>
    </row>
    <row r="9" customFormat="false" ht="77.6" hidden="false" customHeight="false" outlineLevel="0" collapsed="false">
      <c r="A9" s="8" t="s">
        <v>66</v>
      </c>
      <c r="B9" s="9" t="s">
        <v>67</v>
      </c>
      <c r="C9" s="9" t="s">
        <v>68</v>
      </c>
      <c r="D9" s="9" t="s">
        <v>69</v>
      </c>
      <c r="E9" s="9" t="s">
        <v>70</v>
      </c>
      <c r="F9" s="9" t="s">
        <v>46</v>
      </c>
      <c r="G9" s="9" t="s">
        <v>46</v>
      </c>
      <c r="H9" s="9" t="s">
        <v>46</v>
      </c>
      <c r="I9" s="9" t="s">
        <v>71</v>
      </c>
      <c r="J9" s="9" t="s">
        <v>46</v>
      </c>
      <c r="K9" s="9" t="s">
        <v>46</v>
      </c>
      <c r="L9" s="9" t="s">
        <v>46</v>
      </c>
      <c r="M9" s="9" t="s">
        <v>72</v>
      </c>
      <c r="N9" s="9" t="s">
        <v>73</v>
      </c>
      <c r="O9" s="9" t="s">
        <v>46</v>
      </c>
      <c r="P9" s="9" t="s">
        <v>46</v>
      </c>
      <c r="Q9" s="9" t="s">
        <v>46</v>
      </c>
      <c r="R9" s="9" t="s">
        <v>46</v>
      </c>
      <c r="S9" s="9" t="s">
        <v>74</v>
      </c>
      <c r="T9" s="9" t="s">
        <v>75</v>
      </c>
    </row>
    <row r="10" customFormat="false" ht="39.55" hidden="false" customHeight="false" outlineLevel="0" collapsed="false">
      <c r="A10" s="8" t="s">
        <v>76</v>
      </c>
      <c r="B10" s="9" t="s">
        <v>77</v>
      </c>
      <c r="C10" s="9" t="s">
        <v>78</v>
      </c>
      <c r="D10" s="9" t="s">
        <v>79</v>
      </c>
      <c r="E10" s="9" t="s">
        <v>79</v>
      </c>
      <c r="F10" s="9" t="s">
        <v>46</v>
      </c>
      <c r="G10" s="9" t="s">
        <v>46</v>
      </c>
      <c r="H10" s="9" t="s">
        <v>46</v>
      </c>
      <c r="I10" s="9" t="s">
        <v>80</v>
      </c>
      <c r="J10" s="9" t="s">
        <v>46</v>
      </c>
      <c r="K10" s="9" t="s">
        <v>46</v>
      </c>
      <c r="L10" s="9" t="s">
        <v>46</v>
      </c>
      <c r="M10" s="9" t="s">
        <v>81</v>
      </c>
      <c r="N10" s="9" t="s">
        <v>82</v>
      </c>
      <c r="O10" s="9" t="s">
        <v>46</v>
      </c>
      <c r="P10" s="9" t="s">
        <v>46</v>
      </c>
      <c r="Q10" s="9" t="s">
        <v>46</v>
      </c>
      <c r="R10" s="9" t="s">
        <v>46</v>
      </c>
      <c r="S10" s="9" t="s">
        <v>46</v>
      </c>
      <c r="T10" s="9" t="s">
        <v>83</v>
      </c>
    </row>
    <row r="11" customFormat="false" ht="52.2" hidden="false" customHeight="false" outlineLevel="0" collapsed="false">
      <c r="A11" s="8" t="s">
        <v>84</v>
      </c>
      <c r="B11" s="9" t="s">
        <v>85</v>
      </c>
      <c r="C11" s="9" t="s">
        <v>85</v>
      </c>
      <c r="D11" s="9" t="s">
        <v>85</v>
      </c>
      <c r="E11" s="10" t="s">
        <v>86</v>
      </c>
      <c r="F11" s="9" t="s">
        <v>46</v>
      </c>
      <c r="G11" s="9" t="s">
        <v>46</v>
      </c>
      <c r="H11" s="9" t="s">
        <v>46</v>
      </c>
      <c r="I11" s="9" t="s">
        <v>87</v>
      </c>
      <c r="J11" s="9" t="s">
        <v>46</v>
      </c>
      <c r="K11" s="9" t="s">
        <v>46</v>
      </c>
      <c r="L11" s="9" t="s">
        <v>46</v>
      </c>
      <c r="M11" s="9" t="s">
        <v>85</v>
      </c>
      <c r="N11" s="9" t="s">
        <v>85</v>
      </c>
      <c r="O11" s="9" t="s">
        <v>46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85</v>
      </c>
    </row>
    <row r="12" customFormat="false" ht="102.95" hidden="false" customHeight="false" outlineLevel="0" collapsed="false">
      <c r="A12" s="8" t="s">
        <v>88</v>
      </c>
      <c r="B12" s="9" t="s">
        <v>89</v>
      </c>
      <c r="C12" s="10" t="s">
        <v>90</v>
      </c>
      <c r="D12" s="10" t="s">
        <v>91</v>
      </c>
      <c r="E12" s="9" t="s">
        <v>92</v>
      </c>
      <c r="F12" s="9" t="s">
        <v>93</v>
      </c>
      <c r="G12" s="9" t="s">
        <v>46</v>
      </c>
      <c r="H12" s="9" t="s">
        <v>46</v>
      </c>
      <c r="I12" s="9" t="s">
        <v>94</v>
      </c>
      <c r="J12" s="9" t="s">
        <v>46</v>
      </c>
      <c r="K12" s="9" t="s">
        <v>46</v>
      </c>
      <c r="L12" s="9" t="s">
        <v>46</v>
      </c>
      <c r="M12" s="9" t="s">
        <v>95</v>
      </c>
      <c r="N12" s="9" t="s">
        <v>96</v>
      </c>
      <c r="O12" s="9" t="s">
        <v>46</v>
      </c>
      <c r="P12" s="9" t="s">
        <v>46</v>
      </c>
      <c r="Q12" s="9" t="s">
        <v>46</v>
      </c>
      <c r="R12" s="9" t="s">
        <v>46</v>
      </c>
      <c r="S12" s="9" t="s">
        <v>46</v>
      </c>
      <c r="T12" s="9" t="s">
        <v>46</v>
      </c>
    </row>
    <row r="13" customFormat="false" ht="26.85" hidden="false" customHeight="false" outlineLevel="0" collapsed="false">
      <c r="A13" s="8" t="s">
        <v>97</v>
      </c>
      <c r="B13" s="9" t="s">
        <v>98</v>
      </c>
      <c r="C13" s="9" t="s">
        <v>99</v>
      </c>
      <c r="D13" s="9" t="s">
        <v>100</v>
      </c>
      <c r="E13" s="9" t="s">
        <v>101</v>
      </c>
      <c r="F13" s="9" t="s">
        <v>101</v>
      </c>
      <c r="G13" s="9" t="s">
        <v>46</v>
      </c>
      <c r="H13" s="9" t="s">
        <v>46</v>
      </c>
      <c r="I13" s="9" t="s">
        <v>102</v>
      </c>
      <c r="J13" s="9" t="s">
        <v>46</v>
      </c>
      <c r="K13" s="9" t="s">
        <v>46</v>
      </c>
      <c r="L13" s="9" t="s">
        <v>46</v>
      </c>
      <c r="M13" s="9" t="s">
        <v>101</v>
      </c>
      <c r="N13" s="10" t="s">
        <v>103</v>
      </c>
      <c r="O13" s="9" t="s">
        <v>46</v>
      </c>
      <c r="P13" s="9" t="s">
        <v>46</v>
      </c>
      <c r="Q13" s="9" t="s">
        <v>46</v>
      </c>
      <c r="R13" s="9" t="s">
        <v>46</v>
      </c>
      <c r="S13" s="9" t="s">
        <v>46</v>
      </c>
      <c r="T13" s="9" t="s">
        <v>46</v>
      </c>
    </row>
    <row r="14" customFormat="false" ht="90.25" hidden="false" customHeight="false" outlineLevel="0" collapsed="false">
      <c r="A14" s="8" t="s">
        <v>104</v>
      </c>
      <c r="B14" s="9" t="s">
        <v>105</v>
      </c>
      <c r="C14" s="10" t="s">
        <v>106</v>
      </c>
      <c r="D14" s="9" t="s">
        <v>107</v>
      </c>
      <c r="E14" s="9" t="s">
        <v>108</v>
      </c>
      <c r="F14" s="9" t="s">
        <v>109</v>
      </c>
      <c r="G14" s="9" t="s">
        <v>110</v>
      </c>
      <c r="H14" s="9" t="s">
        <v>46</v>
      </c>
      <c r="I14" s="9" t="s">
        <v>111</v>
      </c>
      <c r="J14" s="9" t="s">
        <v>46</v>
      </c>
      <c r="K14" s="9" t="s">
        <v>112</v>
      </c>
      <c r="L14" s="9" t="s">
        <v>46</v>
      </c>
      <c r="M14" s="9" t="s">
        <v>113</v>
      </c>
      <c r="N14" s="9" t="s">
        <v>114</v>
      </c>
      <c r="O14" s="9" t="s">
        <v>115</v>
      </c>
      <c r="P14" s="9" t="s">
        <v>116</v>
      </c>
      <c r="Q14" s="9" t="s">
        <v>117</v>
      </c>
      <c r="R14" s="9" t="s">
        <v>118</v>
      </c>
      <c r="S14" s="10" t="s">
        <v>119</v>
      </c>
      <c r="T14" s="9" t="s">
        <v>120</v>
      </c>
    </row>
    <row r="15" customFormat="false" ht="52.2" hidden="false" customHeight="false" outlineLevel="0" collapsed="false">
      <c r="A15" s="8" t="s">
        <v>121</v>
      </c>
      <c r="B15" s="9" t="s">
        <v>122</v>
      </c>
      <c r="C15" s="9" t="s">
        <v>85</v>
      </c>
      <c r="D15" s="9" t="s">
        <v>123</v>
      </c>
      <c r="E15" s="9" t="s">
        <v>124</v>
      </c>
      <c r="F15" s="9" t="s">
        <v>46</v>
      </c>
      <c r="G15" s="9" t="s">
        <v>46</v>
      </c>
      <c r="H15" s="9" t="s">
        <v>46</v>
      </c>
      <c r="I15" s="9" t="s">
        <v>125</v>
      </c>
      <c r="J15" s="9" t="s">
        <v>46</v>
      </c>
      <c r="K15" s="9" t="s">
        <v>46</v>
      </c>
      <c r="L15" s="9" t="s">
        <v>46</v>
      </c>
      <c r="M15" s="9" t="s">
        <v>126</v>
      </c>
      <c r="N15" s="9" t="s">
        <v>85</v>
      </c>
      <c r="O15" s="9" t="s">
        <v>46</v>
      </c>
      <c r="P15" s="9" t="s">
        <v>46</v>
      </c>
      <c r="Q15" s="9" t="s">
        <v>46</v>
      </c>
      <c r="R15" s="9" t="s">
        <v>46</v>
      </c>
      <c r="S15" s="9" t="s">
        <v>46</v>
      </c>
      <c r="T15" s="9" t="s">
        <v>46</v>
      </c>
    </row>
    <row r="16" customFormat="false" ht="52.2" hidden="false" customHeight="false" outlineLevel="0" collapsed="false">
      <c r="A16" s="8" t="s">
        <v>127</v>
      </c>
      <c r="B16" s="9" t="s">
        <v>128</v>
      </c>
      <c r="C16" s="9" t="s">
        <v>129</v>
      </c>
      <c r="D16" s="9" t="s">
        <v>130</v>
      </c>
      <c r="E16" s="9" t="s">
        <v>131</v>
      </c>
      <c r="F16" s="9" t="s">
        <v>46</v>
      </c>
      <c r="G16" s="9" t="s">
        <v>46</v>
      </c>
      <c r="H16" s="9" t="s">
        <v>46</v>
      </c>
      <c r="I16" s="9" t="s">
        <v>132</v>
      </c>
      <c r="J16" s="9" t="s">
        <v>46</v>
      </c>
      <c r="K16" s="9" t="s">
        <v>46</v>
      </c>
      <c r="L16" s="9" t="s">
        <v>46</v>
      </c>
      <c r="M16" s="9" t="s">
        <v>133</v>
      </c>
      <c r="N16" s="9" t="s">
        <v>79</v>
      </c>
      <c r="O16" s="9" t="s">
        <v>46</v>
      </c>
      <c r="P16" s="9" t="s">
        <v>46</v>
      </c>
      <c r="Q16" s="9" t="s">
        <v>46</v>
      </c>
      <c r="R16" s="9" t="s">
        <v>46</v>
      </c>
      <c r="S16" s="9" t="s">
        <v>46</v>
      </c>
      <c r="T16" s="9" t="s">
        <v>134</v>
      </c>
    </row>
    <row r="17" customFormat="false" ht="77.6" hidden="false" customHeight="false" outlineLevel="0" collapsed="false">
      <c r="A17" s="8" t="s">
        <v>135</v>
      </c>
      <c r="B17" s="9" t="s">
        <v>136</v>
      </c>
      <c r="C17" s="9" t="s">
        <v>137</v>
      </c>
      <c r="D17" s="9" t="s">
        <v>138</v>
      </c>
      <c r="E17" s="10" t="s">
        <v>139</v>
      </c>
      <c r="F17" s="10" t="s">
        <v>140</v>
      </c>
      <c r="G17" s="9" t="s">
        <v>46</v>
      </c>
      <c r="H17" s="9" t="s">
        <v>46</v>
      </c>
      <c r="I17" s="9" t="s">
        <v>141</v>
      </c>
      <c r="J17" s="9" t="s">
        <v>46</v>
      </c>
      <c r="K17" s="9" t="s">
        <v>46</v>
      </c>
      <c r="L17" s="9" t="s">
        <v>46</v>
      </c>
      <c r="M17" s="9" t="s">
        <v>142</v>
      </c>
      <c r="N17" s="9" t="s">
        <v>79</v>
      </c>
      <c r="O17" s="9" t="s">
        <v>46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143</v>
      </c>
    </row>
    <row r="18" customFormat="false" ht="52.2" hidden="false" customHeight="false" outlineLevel="0" collapsed="false">
      <c r="A18" s="8" t="s">
        <v>144</v>
      </c>
      <c r="B18" s="9" t="s">
        <v>85</v>
      </c>
      <c r="C18" s="9" t="s">
        <v>145</v>
      </c>
      <c r="D18" s="9" t="s">
        <v>146</v>
      </c>
      <c r="E18" s="9" t="s">
        <v>147</v>
      </c>
      <c r="F18" s="9" t="s">
        <v>46</v>
      </c>
      <c r="G18" s="9" t="s">
        <v>46</v>
      </c>
      <c r="H18" s="9" t="s">
        <v>46</v>
      </c>
      <c r="I18" s="9" t="s">
        <v>148</v>
      </c>
      <c r="J18" s="9" t="s">
        <v>46</v>
      </c>
      <c r="K18" s="9" t="s">
        <v>46</v>
      </c>
      <c r="L18" s="9" t="s">
        <v>46</v>
      </c>
      <c r="M18" s="9" t="s">
        <v>149</v>
      </c>
      <c r="N18" s="9" t="s">
        <v>79</v>
      </c>
      <c r="O18" s="9" t="s">
        <v>46</v>
      </c>
      <c r="P18" s="9" t="s">
        <v>46</v>
      </c>
      <c r="Q18" s="9" t="s">
        <v>46</v>
      </c>
      <c r="R18" s="9" t="s">
        <v>46</v>
      </c>
      <c r="S18" s="9" t="s">
        <v>46</v>
      </c>
      <c r="T18" s="9" t="s">
        <v>150</v>
      </c>
    </row>
    <row r="19" customFormat="false" ht="102.95" hidden="false" customHeight="false" outlineLevel="0" collapsed="false">
      <c r="A19" s="8" t="s">
        <v>151</v>
      </c>
      <c r="B19" s="9" t="s">
        <v>152</v>
      </c>
      <c r="C19" s="9" t="s">
        <v>79</v>
      </c>
      <c r="D19" s="9" t="s">
        <v>79</v>
      </c>
      <c r="E19" s="9" t="s">
        <v>79</v>
      </c>
      <c r="F19" s="9" t="s">
        <v>46</v>
      </c>
      <c r="G19" s="9" t="s">
        <v>46</v>
      </c>
      <c r="H19" s="9" t="s">
        <v>46</v>
      </c>
      <c r="I19" s="9" t="s">
        <v>46</v>
      </c>
      <c r="J19" s="9" t="s">
        <v>46</v>
      </c>
      <c r="K19" s="9" t="s">
        <v>46</v>
      </c>
      <c r="L19" s="9" t="s">
        <v>46</v>
      </c>
      <c r="M19" s="9" t="s">
        <v>153</v>
      </c>
      <c r="N19" s="9" t="s">
        <v>154</v>
      </c>
      <c r="O19" s="9" t="s">
        <v>46</v>
      </c>
      <c r="P19" s="9" t="s">
        <v>46</v>
      </c>
      <c r="Q19" s="9" t="s">
        <v>46</v>
      </c>
      <c r="R19" s="9" t="s">
        <v>46</v>
      </c>
      <c r="S19" s="9" t="s">
        <v>46</v>
      </c>
      <c r="T19" s="9" t="s">
        <v>155</v>
      </c>
    </row>
    <row r="20" customFormat="false" ht="90.25" hidden="false" customHeight="false" outlineLevel="0" collapsed="false">
      <c r="A20" s="8" t="s">
        <v>156</v>
      </c>
      <c r="B20" s="11" t="s">
        <v>157</v>
      </c>
      <c r="C20" s="11" t="s">
        <v>79</v>
      </c>
      <c r="D20" s="11" t="s">
        <v>79</v>
      </c>
      <c r="E20" s="11" t="s">
        <v>79</v>
      </c>
      <c r="F20" s="11" t="s">
        <v>46</v>
      </c>
      <c r="G20" s="12" t="s">
        <v>158</v>
      </c>
      <c r="H20" s="11" t="s">
        <v>46</v>
      </c>
      <c r="I20" s="11" t="s">
        <v>159</v>
      </c>
      <c r="J20" s="11" t="s">
        <v>46</v>
      </c>
      <c r="K20" s="11" t="s">
        <v>46</v>
      </c>
      <c r="L20" s="11" t="s">
        <v>46</v>
      </c>
      <c r="M20" s="11" t="s">
        <v>160</v>
      </c>
      <c r="N20" s="11" t="s">
        <v>161</v>
      </c>
      <c r="O20" s="11" t="s">
        <v>46</v>
      </c>
      <c r="P20" s="11" t="s">
        <v>46</v>
      </c>
      <c r="Q20" s="11" t="s">
        <v>46</v>
      </c>
      <c r="R20" s="11" t="s">
        <v>162</v>
      </c>
      <c r="S20" s="11" t="s">
        <v>46</v>
      </c>
      <c r="T20" s="11" t="s">
        <v>163</v>
      </c>
    </row>
    <row r="21" customFormat="false" ht="26.85" hidden="false" customHeight="false" outlineLevel="0" collapsed="false">
      <c r="A21" s="8" t="s">
        <v>164</v>
      </c>
      <c r="B21" s="9" t="s">
        <v>165</v>
      </c>
      <c r="C21" s="9" t="s">
        <v>166</v>
      </c>
      <c r="D21" s="9" t="s">
        <v>79</v>
      </c>
      <c r="E21" s="9" t="s">
        <v>79</v>
      </c>
      <c r="F21" s="9" t="s">
        <v>46</v>
      </c>
      <c r="G21" s="9" t="s">
        <v>46</v>
      </c>
      <c r="H21" s="9" t="s">
        <v>46</v>
      </c>
      <c r="I21" s="9" t="s">
        <v>46</v>
      </c>
      <c r="J21" s="9" t="s">
        <v>46</v>
      </c>
      <c r="K21" s="9" t="s">
        <v>46</v>
      </c>
      <c r="L21" s="9" t="s">
        <v>46</v>
      </c>
      <c r="M21" s="9" t="s">
        <v>167</v>
      </c>
      <c r="N21" s="9" t="s">
        <v>79</v>
      </c>
      <c r="O21" s="9" t="s">
        <v>46</v>
      </c>
      <c r="P21" s="9" t="s">
        <v>46</v>
      </c>
      <c r="Q21" s="9" t="s">
        <v>46</v>
      </c>
      <c r="R21" s="9" t="s">
        <v>46</v>
      </c>
      <c r="S21" s="9" t="s">
        <v>46</v>
      </c>
      <c r="T21" s="9" t="s">
        <v>79</v>
      </c>
    </row>
    <row r="22" customFormat="false" ht="39.55" hidden="false" customHeight="false" outlineLevel="0" collapsed="false">
      <c r="A22" s="8" t="s">
        <v>168</v>
      </c>
      <c r="B22" s="9" t="s">
        <v>169</v>
      </c>
      <c r="C22" s="9" t="s">
        <v>170</v>
      </c>
      <c r="D22" s="9" t="s">
        <v>171</v>
      </c>
      <c r="E22" s="9" t="s">
        <v>79</v>
      </c>
      <c r="F22" s="9" t="s">
        <v>46</v>
      </c>
      <c r="G22" s="9" t="s">
        <v>172</v>
      </c>
      <c r="H22" s="9" t="s">
        <v>46</v>
      </c>
      <c r="I22" s="9" t="s">
        <v>173</v>
      </c>
      <c r="J22" s="9" t="s">
        <v>46</v>
      </c>
      <c r="K22" s="9" t="s">
        <v>46</v>
      </c>
      <c r="L22" s="9" t="s">
        <v>46</v>
      </c>
      <c r="M22" s="9" t="s">
        <v>174</v>
      </c>
      <c r="N22" s="9" t="s">
        <v>79</v>
      </c>
      <c r="O22" s="9" t="s">
        <v>46</v>
      </c>
      <c r="P22" s="9" t="s">
        <v>46</v>
      </c>
      <c r="Q22" s="9" t="s">
        <v>46</v>
      </c>
      <c r="R22" s="9" t="s">
        <v>46</v>
      </c>
      <c r="S22" s="9" t="s">
        <v>46</v>
      </c>
      <c r="T22" s="9" t="s">
        <v>175</v>
      </c>
    </row>
    <row r="23" customFormat="false" ht="26.85" hidden="false" customHeight="false" outlineLevel="0" collapsed="false">
      <c r="A23" s="8" t="s">
        <v>176</v>
      </c>
      <c r="B23" s="9" t="s">
        <v>177</v>
      </c>
      <c r="C23" s="9" t="s">
        <v>178</v>
      </c>
      <c r="D23" s="9" t="s">
        <v>177</v>
      </c>
      <c r="E23" s="9" t="s">
        <v>179</v>
      </c>
      <c r="F23" s="9" t="s">
        <v>180</v>
      </c>
      <c r="G23" s="9" t="s">
        <v>181</v>
      </c>
      <c r="H23" s="9" t="s">
        <v>182</v>
      </c>
      <c r="I23" s="9" t="s">
        <v>183</v>
      </c>
      <c r="J23" s="9" t="s">
        <v>184</v>
      </c>
      <c r="K23" s="9" t="s">
        <v>185</v>
      </c>
      <c r="L23" s="9" t="s">
        <v>186</v>
      </c>
      <c r="M23" s="9" t="s">
        <v>187</v>
      </c>
      <c r="N23" s="9" t="s">
        <v>188</v>
      </c>
      <c r="O23" s="9" t="s">
        <v>189</v>
      </c>
      <c r="P23" s="9" t="s">
        <v>177</v>
      </c>
      <c r="Q23" s="9" t="s">
        <v>190</v>
      </c>
      <c r="R23" s="9" t="s">
        <v>191</v>
      </c>
      <c r="S23" s="9" t="s">
        <v>192</v>
      </c>
      <c r="T23" s="9" t="s">
        <v>193</v>
      </c>
    </row>
    <row r="25" customFormat="false" ht="15" hidden="false" customHeight="false" outlineLevel="0" collapsed="false">
      <c r="A25" s="13" t="s">
        <v>194</v>
      </c>
    </row>
    <row r="26" customFormat="false" ht="15" hidden="false" customHeight="false" outlineLevel="0" collapsed="false">
      <c r="A26" s="14" t="s">
        <v>195</v>
      </c>
    </row>
    <row r="27" customFormat="false" ht="15" hidden="false" customHeight="false" outlineLevel="0" collapsed="false">
      <c r="A27" s="14" t="s">
        <v>196</v>
      </c>
    </row>
    <row r="28" customFormat="false" ht="15" hidden="false" customHeight="false" outlineLevel="0" collapsed="false">
      <c r="A28" s="14" t="s">
        <v>197</v>
      </c>
    </row>
    <row r="29" customFormat="false" ht="15" hidden="false" customHeight="false" outlineLevel="0" collapsed="false">
      <c r="A29" s="14" t="s">
        <v>198</v>
      </c>
    </row>
    <row r="30" customFormat="false" ht="15" hidden="false" customHeight="false" outlineLevel="0" collapsed="false">
      <c r="A30" s="14" t="s">
        <v>199</v>
      </c>
    </row>
    <row r="31" customFormat="false" ht="15" hidden="false" customHeight="false" outlineLevel="0" collapsed="false">
      <c r="A31" s="14" t="s">
        <v>200</v>
      </c>
    </row>
    <row r="32" customFormat="false" ht="15" hidden="false" customHeight="false" outlineLevel="0" collapsed="false">
      <c r="A32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40"/>
    <col collapsed="false" customWidth="true" hidden="false" outlineLevel="0" max="4" min="4" style="0" width="44"/>
    <col collapsed="false" customWidth="true" hidden="false" outlineLevel="0" max="6" min="5" style="0" width="42"/>
    <col collapsed="false" customWidth="true" hidden="false" outlineLevel="0" max="7" min="7" style="0" width="46"/>
    <col collapsed="false" customWidth="true" hidden="false" outlineLevel="0" max="8" min="8" style="0" width="40"/>
  </cols>
  <sheetData>
    <row r="1" customFormat="false" ht="19.4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3" customFormat="false" ht="15" hidden="false" customHeight="false" outlineLevel="0" collapsed="false">
      <c r="A3" s="2" t="s">
        <v>204</v>
      </c>
    </row>
    <row r="5" customFormat="false" ht="25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11</v>
      </c>
      <c r="F5" s="3" t="s">
        <v>16</v>
      </c>
      <c r="G5" s="3" t="s">
        <v>15</v>
      </c>
      <c r="H5" s="3" t="s">
        <v>8</v>
      </c>
    </row>
    <row r="6" customFormat="false" ht="15" hidden="false" customHeight="false" outlineLevel="0" collapsed="false">
      <c r="A6" s="4" t="s">
        <v>205</v>
      </c>
      <c r="B6" s="5" t="s">
        <v>24</v>
      </c>
      <c r="C6" s="5" t="s">
        <v>24</v>
      </c>
      <c r="D6" s="5" t="s">
        <v>25</v>
      </c>
      <c r="E6" s="5" t="s">
        <v>206</v>
      </c>
      <c r="F6" s="5" t="s">
        <v>207</v>
      </c>
      <c r="G6" s="5" t="s">
        <v>208</v>
      </c>
      <c r="H6" s="5" t="s">
        <v>27</v>
      </c>
    </row>
    <row r="7" customFormat="false" ht="15" hidden="false" customHeight="false" outlineLevel="0" collapsed="false">
      <c r="A7" s="4" t="s">
        <v>209</v>
      </c>
      <c r="B7" s="5" t="s">
        <v>210</v>
      </c>
      <c r="C7" s="5" t="s">
        <v>211</v>
      </c>
      <c r="D7" s="5" t="s">
        <v>211</v>
      </c>
      <c r="E7" s="5" t="s">
        <v>212</v>
      </c>
      <c r="F7" s="5" t="s">
        <v>213</v>
      </c>
      <c r="G7" s="5" t="s">
        <v>214</v>
      </c>
      <c r="H7" s="5" t="s">
        <v>211</v>
      </c>
    </row>
    <row r="8" customFormat="false" ht="26.85" hidden="false" customHeight="false" outlineLevel="0" collapsed="false">
      <c r="A8" s="4" t="s">
        <v>41</v>
      </c>
      <c r="B8" s="6" t="s">
        <v>42</v>
      </c>
      <c r="C8" s="6" t="s">
        <v>215</v>
      </c>
      <c r="D8" s="6" t="s">
        <v>215</v>
      </c>
      <c r="E8" s="6" t="s">
        <v>216</v>
      </c>
      <c r="F8" s="6" t="s">
        <v>217</v>
      </c>
      <c r="G8" s="5" t="s">
        <v>218</v>
      </c>
      <c r="H8" s="7" t="s">
        <v>45</v>
      </c>
    </row>
    <row r="9" customFormat="false" ht="52.2" hidden="false" customHeight="false" outlineLevel="0" collapsed="false">
      <c r="A9" s="8" t="s">
        <v>88</v>
      </c>
      <c r="B9" s="9" t="s">
        <v>219</v>
      </c>
      <c r="C9" s="10" t="s">
        <v>220</v>
      </c>
      <c r="D9" s="10" t="s">
        <v>91</v>
      </c>
      <c r="E9" s="10" t="s">
        <v>221</v>
      </c>
      <c r="F9" s="9" t="s">
        <v>222</v>
      </c>
      <c r="G9" s="9" t="s">
        <v>223</v>
      </c>
      <c r="H9" s="9" t="s">
        <v>101</v>
      </c>
    </row>
    <row r="10" customFormat="false" ht="26.85" hidden="false" customHeight="false" outlineLevel="0" collapsed="false">
      <c r="A10" s="8" t="s">
        <v>97</v>
      </c>
      <c r="B10" s="9" t="s">
        <v>224</v>
      </c>
      <c r="C10" s="9" t="s">
        <v>99</v>
      </c>
      <c r="D10" s="9" t="s">
        <v>100</v>
      </c>
      <c r="E10" s="9" t="s">
        <v>102</v>
      </c>
      <c r="F10" s="10" t="s">
        <v>103</v>
      </c>
      <c r="G10" s="9" t="s">
        <v>225</v>
      </c>
      <c r="H10" s="9" t="s">
        <v>101</v>
      </c>
    </row>
    <row r="11" customFormat="false" ht="26.85" hidden="false" customHeight="false" outlineLevel="0" collapsed="false">
      <c r="A11" s="8" t="s">
        <v>226</v>
      </c>
      <c r="B11" s="9" t="s">
        <v>227</v>
      </c>
      <c r="C11" s="9" t="s">
        <v>228</v>
      </c>
      <c r="D11" s="9" t="s">
        <v>229</v>
      </c>
      <c r="E11" s="9" t="s">
        <v>230</v>
      </c>
      <c r="F11" s="9" t="s">
        <v>231</v>
      </c>
      <c r="G11" s="9" t="s">
        <v>232</v>
      </c>
      <c r="H11" s="9" t="s">
        <v>46</v>
      </c>
    </row>
    <row r="12" customFormat="false" ht="39.55" hidden="false" customHeight="false" outlineLevel="0" collapsed="false">
      <c r="A12" s="8" t="s">
        <v>233</v>
      </c>
      <c r="B12" s="9" t="s">
        <v>67</v>
      </c>
      <c r="C12" s="9" t="s">
        <v>234</v>
      </c>
      <c r="D12" s="9" t="s">
        <v>69</v>
      </c>
      <c r="E12" s="9" t="s">
        <v>235</v>
      </c>
      <c r="F12" s="9" t="s">
        <v>236</v>
      </c>
      <c r="G12" s="9" t="s">
        <v>237</v>
      </c>
      <c r="H12" s="9" t="s">
        <v>46</v>
      </c>
    </row>
    <row r="13" customFormat="false" ht="15" hidden="false" customHeight="false" outlineLevel="0" collapsed="false">
      <c r="A13" s="8" t="s">
        <v>238</v>
      </c>
      <c r="B13" s="9" t="s">
        <v>239</v>
      </c>
      <c r="C13" s="9" t="s">
        <v>240</v>
      </c>
      <c r="D13" s="9" t="s">
        <v>241</v>
      </c>
      <c r="E13" s="9" t="s">
        <v>242</v>
      </c>
      <c r="F13" s="9" t="s">
        <v>243</v>
      </c>
      <c r="G13" s="9" t="s">
        <v>244</v>
      </c>
      <c r="H13" s="9" t="s">
        <v>245</v>
      </c>
    </row>
    <row r="14" customFormat="false" ht="26.85" hidden="false" customHeight="false" outlineLevel="0" collapsed="false">
      <c r="A14" s="8" t="s">
        <v>104</v>
      </c>
      <c r="B14" s="9" t="s">
        <v>246</v>
      </c>
      <c r="C14" s="10" t="s">
        <v>247</v>
      </c>
      <c r="D14" s="9" t="s">
        <v>107</v>
      </c>
      <c r="E14" s="9" t="s">
        <v>248</v>
      </c>
      <c r="F14" s="9" t="s">
        <v>249</v>
      </c>
      <c r="G14" s="9" t="s">
        <v>250</v>
      </c>
      <c r="H14" s="9" t="s">
        <v>251</v>
      </c>
    </row>
    <row r="15" customFormat="false" ht="15" hidden="false" customHeight="false" outlineLevel="0" collapsed="false">
      <c r="A15" s="8" t="s">
        <v>252</v>
      </c>
      <c r="B15" s="9" t="s">
        <v>253</v>
      </c>
      <c r="C15" s="9" t="s">
        <v>254</v>
      </c>
      <c r="D15" s="9" t="s">
        <v>255</v>
      </c>
      <c r="E15" s="9" t="s">
        <v>253</v>
      </c>
      <c r="F15" s="9" t="s">
        <v>256</v>
      </c>
      <c r="G15" s="9" t="s">
        <v>253</v>
      </c>
      <c r="H15" s="9" t="s">
        <v>254</v>
      </c>
    </row>
    <row r="16" customFormat="false" ht="26.85" hidden="false" customHeight="false" outlineLevel="0" collapsed="false">
      <c r="A16" s="8" t="s">
        <v>257</v>
      </c>
      <c r="B16" s="9" t="s">
        <v>258</v>
      </c>
      <c r="C16" s="9" t="s">
        <v>85</v>
      </c>
      <c r="D16" s="9" t="s">
        <v>259</v>
      </c>
      <c r="E16" s="9" t="s">
        <v>260</v>
      </c>
      <c r="F16" s="9" t="s">
        <v>85</v>
      </c>
      <c r="G16" s="9" t="s">
        <v>261</v>
      </c>
      <c r="H16" s="9" t="s">
        <v>262</v>
      </c>
    </row>
    <row r="17" customFormat="false" ht="52.2" hidden="false" customHeight="false" outlineLevel="0" collapsed="false">
      <c r="A17" s="8" t="s">
        <v>263</v>
      </c>
      <c r="B17" s="9" t="s">
        <v>264</v>
      </c>
      <c r="C17" s="9" t="s">
        <v>265</v>
      </c>
      <c r="D17" s="9" t="s">
        <v>266</v>
      </c>
      <c r="E17" s="9" t="s">
        <v>267</v>
      </c>
      <c r="F17" s="9" t="s">
        <v>268</v>
      </c>
      <c r="G17" s="9" t="s">
        <v>269</v>
      </c>
      <c r="H17" s="10" t="s">
        <v>270</v>
      </c>
    </row>
    <row r="18" customFormat="false" ht="52.2" hidden="false" customHeight="false" outlineLevel="0" collapsed="false">
      <c r="A18" s="8" t="s">
        <v>271</v>
      </c>
      <c r="B18" s="9" t="s">
        <v>272</v>
      </c>
      <c r="C18" s="9" t="s">
        <v>79</v>
      </c>
      <c r="D18" s="9" t="s">
        <v>79</v>
      </c>
      <c r="E18" s="9" t="s">
        <v>79</v>
      </c>
      <c r="F18" s="9" t="s">
        <v>273</v>
      </c>
      <c r="G18" s="9" t="s">
        <v>274</v>
      </c>
      <c r="H18" s="9" t="s">
        <v>46</v>
      </c>
    </row>
    <row r="19" customFormat="false" ht="77.6" hidden="false" customHeight="false" outlineLevel="0" collapsed="false">
      <c r="A19" s="8" t="s">
        <v>156</v>
      </c>
      <c r="B19" s="9" t="s">
        <v>275</v>
      </c>
      <c r="C19" s="9" t="s">
        <v>79</v>
      </c>
      <c r="D19" s="9" t="s">
        <v>79</v>
      </c>
      <c r="E19" s="9" t="s">
        <v>276</v>
      </c>
      <c r="F19" s="9" t="s">
        <v>277</v>
      </c>
      <c r="G19" s="9" t="s">
        <v>278</v>
      </c>
      <c r="H19" s="9" t="s">
        <v>46</v>
      </c>
    </row>
    <row r="20" customFormat="false" ht="26.85" hidden="false" customHeight="false" outlineLevel="0" collapsed="false">
      <c r="A20" s="8" t="s">
        <v>279</v>
      </c>
      <c r="B20" s="12" t="s">
        <v>280</v>
      </c>
      <c r="C20" s="11" t="s">
        <v>79</v>
      </c>
      <c r="D20" s="11" t="s">
        <v>79</v>
      </c>
      <c r="E20" s="11" t="s">
        <v>281</v>
      </c>
      <c r="F20" s="11" t="s">
        <v>85</v>
      </c>
      <c r="G20" s="11" t="s">
        <v>282</v>
      </c>
      <c r="H20" s="11" t="s">
        <v>46</v>
      </c>
    </row>
    <row r="21" customFormat="false" ht="39.55" hidden="false" customHeight="false" outlineLevel="0" collapsed="false">
      <c r="A21" s="8" t="s">
        <v>283</v>
      </c>
      <c r="B21" s="11" t="s">
        <v>284</v>
      </c>
      <c r="C21" s="11" t="s">
        <v>79</v>
      </c>
      <c r="D21" s="11" t="s">
        <v>79</v>
      </c>
      <c r="E21" s="11" t="s">
        <v>79</v>
      </c>
      <c r="F21" s="11" t="s">
        <v>285</v>
      </c>
      <c r="G21" s="11" t="s">
        <v>79</v>
      </c>
      <c r="H21" s="11" t="s">
        <v>46</v>
      </c>
    </row>
    <row r="22" customFormat="false" ht="26.85" hidden="false" customHeight="false" outlineLevel="0" collapsed="false">
      <c r="A22" s="15" t="s">
        <v>286</v>
      </c>
      <c r="B22" s="9" t="s">
        <v>79</v>
      </c>
      <c r="C22" s="10" t="s">
        <v>287</v>
      </c>
      <c r="D22" s="10" t="s">
        <v>288</v>
      </c>
      <c r="E22" s="9" t="s">
        <v>79</v>
      </c>
      <c r="F22" s="9" t="s">
        <v>79</v>
      </c>
      <c r="G22" s="9" t="s">
        <v>289</v>
      </c>
      <c r="H22" s="9" t="s">
        <v>46</v>
      </c>
    </row>
    <row r="23" customFormat="false" ht="26.85" hidden="false" customHeight="false" outlineLevel="0" collapsed="false">
      <c r="A23" s="8" t="s">
        <v>164</v>
      </c>
      <c r="B23" s="9" t="s">
        <v>165</v>
      </c>
      <c r="C23" s="9" t="s">
        <v>166</v>
      </c>
      <c r="D23" s="9" t="s">
        <v>79</v>
      </c>
      <c r="E23" s="9" t="s">
        <v>79</v>
      </c>
      <c r="F23" s="9" t="s">
        <v>290</v>
      </c>
      <c r="G23" s="9" t="s">
        <v>291</v>
      </c>
      <c r="H23" s="9" t="s">
        <v>46</v>
      </c>
    </row>
    <row r="24" customFormat="false" ht="26.85" hidden="false" customHeight="false" outlineLevel="0" collapsed="false">
      <c r="A24" s="8" t="s">
        <v>176</v>
      </c>
      <c r="B24" s="9" t="s">
        <v>177</v>
      </c>
      <c r="C24" s="9" t="s">
        <v>178</v>
      </c>
      <c r="D24" s="9" t="s">
        <v>177</v>
      </c>
      <c r="E24" s="9" t="s">
        <v>177</v>
      </c>
      <c r="F24" s="9" t="s">
        <v>177</v>
      </c>
      <c r="G24" s="9" t="s">
        <v>177</v>
      </c>
      <c r="H24" s="9" t="s">
        <v>180</v>
      </c>
    </row>
    <row r="26" customFormat="false" ht="15" hidden="false" customHeight="false" outlineLevel="0" collapsed="false">
      <c r="A26" s="13" t="s">
        <v>194</v>
      </c>
    </row>
    <row r="27" customFormat="false" ht="15" hidden="false" customHeight="false" outlineLevel="0" collapsed="false">
      <c r="A27" s="14" t="s">
        <v>292</v>
      </c>
    </row>
    <row r="28" customFormat="false" ht="15" hidden="false" customHeight="false" outlineLevel="0" collapsed="false">
      <c r="A28" s="14" t="s">
        <v>293</v>
      </c>
    </row>
    <row r="29" customFormat="false" ht="15" hidden="false" customHeight="false" outlineLevel="0" collapsed="false">
      <c r="A29" s="14" t="s">
        <v>294</v>
      </c>
    </row>
    <row r="30" customFormat="false" ht="15" hidden="false" customHeight="false" outlineLevel="0" collapsed="false">
      <c r="A30" s="14" t="s">
        <v>295</v>
      </c>
    </row>
    <row r="31" customFormat="false" ht="15" hidden="false" customHeight="false" outlineLevel="0" collapsed="false">
      <c r="A31" s="14" t="s">
        <v>296</v>
      </c>
    </row>
    <row r="32" customFormat="false" ht="15" hidden="false" customHeight="false" outlineLevel="0" collapsed="false">
      <c r="A32" s="14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  <col collapsed="false" customWidth="true" hidden="false" outlineLevel="0" max="21" min="21" style="0" width="44"/>
  </cols>
  <sheetData>
    <row r="1" customFormat="false" ht="19.4" hidden="false" customHeight="fals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24" hidden="false" customHeight="true" outlineLevel="0" collapsed="false">
      <c r="A4" s="16" t="s">
        <v>300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</row>
    <row r="5" customFormat="false" ht="26.85" hidden="false" customHeight="false" outlineLevel="0" collapsed="false">
      <c r="A5" s="4" t="s">
        <v>301</v>
      </c>
      <c r="B5" s="4" t="s">
        <v>23</v>
      </c>
      <c r="C5" s="5" t="s">
        <v>302</v>
      </c>
      <c r="D5" s="5" t="s">
        <v>303</v>
      </c>
      <c r="E5" s="5" t="s">
        <v>304</v>
      </c>
      <c r="F5" s="5" t="s">
        <v>46</v>
      </c>
      <c r="G5" s="5" t="s">
        <v>46</v>
      </c>
      <c r="H5" s="5" t="s">
        <v>305</v>
      </c>
      <c r="I5" s="5" t="s">
        <v>306</v>
      </c>
      <c r="J5" s="5" t="s">
        <v>307</v>
      </c>
      <c r="K5" s="5" t="s">
        <v>308</v>
      </c>
      <c r="L5" s="5" t="s">
        <v>309</v>
      </c>
      <c r="M5" s="5" t="s">
        <v>310</v>
      </c>
      <c r="N5" s="5" t="s">
        <v>311</v>
      </c>
      <c r="O5" s="5" t="s">
        <v>312</v>
      </c>
      <c r="P5" s="5" t="s">
        <v>313</v>
      </c>
      <c r="Q5" s="5" t="s">
        <v>314</v>
      </c>
      <c r="R5" s="5" t="s">
        <v>315</v>
      </c>
      <c r="S5" s="5" t="s">
        <v>316</v>
      </c>
      <c r="T5" s="5" t="s">
        <v>317</v>
      </c>
      <c r="U5" s="6" t="s">
        <v>318</v>
      </c>
    </row>
    <row r="6" customFormat="false" ht="52.2" hidden="false" customHeight="false" outlineLevel="0" collapsed="false">
      <c r="A6" s="8"/>
      <c r="B6" s="8" t="s">
        <v>319</v>
      </c>
      <c r="C6" s="9" t="s">
        <v>320</v>
      </c>
      <c r="D6" s="10" t="s">
        <v>321</v>
      </c>
      <c r="E6" s="9" t="s">
        <v>322</v>
      </c>
      <c r="F6" s="9" t="s">
        <v>46</v>
      </c>
      <c r="G6" s="9" t="s">
        <v>251</v>
      </c>
      <c r="H6" s="9" t="s">
        <v>323</v>
      </c>
      <c r="I6" s="9" t="s">
        <v>324</v>
      </c>
      <c r="J6" s="9" t="s">
        <v>325</v>
      </c>
      <c r="K6" s="9" t="s">
        <v>326</v>
      </c>
      <c r="L6" s="9" t="s">
        <v>327</v>
      </c>
      <c r="M6" s="9" t="s">
        <v>328</v>
      </c>
      <c r="N6" s="9" t="s">
        <v>329</v>
      </c>
      <c r="O6" s="9" t="s">
        <v>330</v>
      </c>
      <c r="P6" s="9" t="s">
        <v>331</v>
      </c>
      <c r="Q6" s="9" t="s">
        <v>332</v>
      </c>
      <c r="R6" s="9" t="s">
        <v>333</v>
      </c>
      <c r="S6" s="9" t="s">
        <v>334</v>
      </c>
      <c r="T6" s="9" t="s">
        <v>335</v>
      </c>
      <c r="U6" s="9" t="s">
        <v>336</v>
      </c>
    </row>
    <row r="7" customFormat="false" ht="52.2" hidden="false" customHeight="false" outlineLevel="0" collapsed="false">
      <c r="A7" s="8"/>
      <c r="B7" s="8" t="s">
        <v>337</v>
      </c>
      <c r="C7" s="9" t="s">
        <v>338</v>
      </c>
      <c r="D7" s="9" t="s">
        <v>339</v>
      </c>
      <c r="E7" s="9" t="s">
        <v>340</v>
      </c>
      <c r="F7" s="9" t="s">
        <v>46</v>
      </c>
      <c r="G7" s="9" t="s">
        <v>46</v>
      </c>
      <c r="H7" s="9" t="s">
        <v>341</v>
      </c>
      <c r="I7" s="9" t="s">
        <v>342</v>
      </c>
      <c r="J7" s="9" t="s">
        <v>343</v>
      </c>
      <c r="K7" s="9" t="s">
        <v>344</v>
      </c>
      <c r="L7" s="9" t="s">
        <v>345</v>
      </c>
      <c r="M7" s="9" t="s">
        <v>346</v>
      </c>
      <c r="N7" s="9" t="s">
        <v>347</v>
      </c>
      <c r="O7" s="9" t="s">
        <v>348</v>
      </c>
      <c r="P7" s="9" t="s">
        <v>349</v>
      </c>
      <c r="Q7" s="10" t="s">
        <v>350</v>
      </c>
      <c r="R7" s="10" t="s">
        <v>351</v>
      </c>
      <c r="S7" s="9" t="s">
        <v>352</v>
      </c>
      <c r="T7" s="9" t="s">
        <v>353</v>
      </c>
      <c r="U7" s="9" t="s">
        <v>354</v>
      </c>
    </row>
    <row r="8" customFormat="false" ht="64.9" hidden="false" customHeight="false" outlineLevel="0" collapsed="false">
      <c r="A8" s="8"/>
      <c r="B8" s="8" t="s">
        <v>355</v>
      </c>
      <c r="C8" s="10" t="s">
        <v>356</v>
      </c>
      <c r="D8" s="9" t="s">
        <v>357</v>
      </c>
      <c r="E8" s="10" t="s">
        <v>358</v>
      </c>
      <c r="F8" s="9" t="s">
        <v>46</v>
      </c>
      <c r="G8" s="9" t="s">
        <v>46</v>
      </c>
      <c r="H8" s="9" t="s">
        <v>46</v>
      </c>
      <c r="I8" s="9" t="s">
        <v>359</v>
      </c>
      <c r="J8" s="10" t="s">
        <v>360</v>
      </c>
      <c r="K8" s="9" t="s">
        <v>361</v>
      </c>
      <c r="L8" s="9" t="s">
        <v>362</v>
      </c>
      <c r="M8" s="9" t="s">
        <v>363</v>
      </c>
      <c r="N8" s="9" t="s">
        <v>364</v>
      </c>
      <c r="O8" s="9" t="s">
        <v>365</v>
      </c>
      <c r="P8" s="9" t="s">
        <v>366</v>
      </c>
      <c r="Q8" s="10" t="s">
        <v>367</v>
      </c>
      <c r="R8" s="9" t="s">
        <v>46</v>
      </c>
      <c r="S8" s="9" t="s">
        <v>368</v>
      </c>
      <c r="T8" s="9" t="s">
        <v>369</v>
      </c>
      <c r="U8" s="10" t="s">
        <v>370</v>
      </c>
    </row>
    <row r="9" customFormat="false" ht="64.9" hidden="false" customHeight="false" outlineLevel="0" collapsed="false">
      <c r="A9" s="8"/>
      <c r="B9" s="8" t="s">
        <v>371</v>
      </c>
      <c r="C9" s="9" t="s">
        <v>372</v>
      </c>
      <c r="D9" s="17" t="s">
        <v>373</v>
      </c>
      <c r="E9" s="9" t="s">
        <v>372</v>
      </c>
      <c r="F9" s="9" t="s">
        <v>46</v>
      </c>
      <c r="G9" s="9" t="s">
        <v>374</v>
      </c>
      <c r="H9" s="9" t="s">
        <v>375</v>
      </c>
      <c r="I9" s="9" t="s">
        <v>376</v>
      </c>
      <c r="J9" s="9" t="s">
        <v>377</v>
      </c>
      <c r="K9" s="17" t="s">
        <v>378</v>
      </c>
      <c r="L9" s="9" t="s">
        <v>46</v>
      </c>
      <c r="M9" s="17" t="s">
        <v>379</v>
      </c>
      <c r="N9" s="9" t="s">
        <v>380</v>
      </c>
      <c r="O9" s="9" t="s">
        <v>381</v>
      </c>
      <c r="P9" s="9" t="s">
        <v>46</v>
      </c>
      <c r="Q9" s="9" t="s">
        <v>382</v>
      </c>
      <c r="R9" s="9" t="s">
        <v>46</v>
      </c>
      <c r="S9" s="9" t="s">
        <v>383</v>
      </c>
      <c r="T9" s="9" t="s">
        <v>384</v>
      </c>
      <c r="U9" s="9" t="s">
        <v>385</v>
      </c>
    </row>
    <row r="10" customFormat="false" ht="76.1" hidden="false" customHeight="false" outlineLevel="0" collapsed="false">
      <c r="A10" s="8"/>
      <c r="B10" s="8" t="s">
        <v>386</v>
      </c>
      <c r="C10" s="9" t="s">
        <v>387</v>
      </c>
      <c r="D10" s="17" t="s">
        <v>388</v>
      </c>
      <c r="E10" s="9" t="s">
        <v>389</v>
      </c>
      <c r="F10" s="9" t="s">
        <v>46</v>
      </c>
      <c r="G10" s="9" t="s">
        <v>46</v>
      </c>
      <c r="H10" s="9" t="s">
        <v>46</v>
      </c>
      <c r="I10" s="10" t="s">
        <v>390</v>
      </c>
      <c r="J10" s="9" t="s">
        <v>391</v>
      </c>
      <c r="K10" s="17" t="s">
        <v>392</v>
      </c>
      <c r="L10" s="9" t="s">
        <v>393</v>
      </c>
      <c r="M10" s="17" t="s">
        <v>394</v>
      </c>
      <c r="N10" s="9" t="s">
        <v>395</v>
      </c>
      <c r="O10" s="9" t="s">
        <v>396</v>
      </c>
      <c r="P10" s="9" t="s">
        <v>397</v>
      </c>
      <c r="Q10" s="10" t="s">
        <v>398</v>
      </c>
      <c r="R10" s="9" t="s">
        <v>399</v>
      </c>
      <c r="S10" s="9" t="s">
        <v>400</v>
      </c>
      <c r="T10" s="9" t="s">
        <v>401</v>
      </c>
      <c r="U10" s="9" t="s">
        <v>402</v>
      </c>
    </row>
    <row r="11" customFormat="false" ht="26.85" hidden="false" customHeight="false" outlineLevel="0" collapsed="false">
      <c r="A11" s="8"/>
      <c r="B11" s="8" t="s">
        <v>403</v>
      </c>
      <c r="C11" s="10" t="s">
        <v>404</v>
      </c>
      <c r="D11" s="9" t="s">
        <v>405</v>
      </c>
      <c r="E11" s="9" t="s">
        <v>406</v>
      </c>
      <c r="F11" s="9" t="s">
        <v>46</v>
      </c>
      <c r="G11" s="9" t="s">
        <v>46</v>
      </c>
      <c r="H11" s="9" t="s">
        <v>407</v>
      </c>
      <c r="I11" s="9" t="s">
        <v>46</v>
      </c>
      <c r="J11" s="9" t="s">
        <v>46</v>
      </c>
      <c r="K11" s="9" t="s">
        <v>46</v>
      </c>
      <c r="L11" s="9" t="s">
        <v>46</v>
      </c>
      <c r="M11" s="9" t="s">
        <v>408</v>
      </c>
      <c r="N11" s="10" t="s">
        <v>409</v>
      </c>
      <c r="O11" s="9" t="s">
        <v>410</v>
      </c>
      <c r="P11" s="9" t="s">
        <v>46</v>
      </c>
      <c r="Q11" s="9" t="s">
        <v>46</v>
      </c>
      <c r="R11" s="9" t="s">
        <v>46</v>
      </c>
      <c r="S11" s="9" t="s">
        <v>46</v>
      </c>
      <c r="T11" s="9" t="s">
        <v>411</v>
      </c>
      <c r="U11" s="9" t="s">
        <v>46</v>
      </c>
    </row>
    <row r="12" customFormat="false" ht="64.9" hidden="false" customHeight="false" outlineLevel="0" collapsed="false">
      <c r="A12" s="8"/>
      <c r="B12" s="8" t="s">
        <v>412</v>
      </c>
      <c r="C12" s="9" t="s">
        <v>413</v>
      </c>
      <c r="D12" s="9" t="s">
        <v>414</v>
      </c>
      <c r="E12" s="9" t="s">
        <v>415</v>
      </c>
      <c r="F12" s="9" t="s">
        <v>46</v>
      </c>
      <c r="G12" s="9" t="s">
        <v>46</v>
      </c>
      <c r="H12" s="9" t="s">
        <v>416</v>
      </c>
      <c r="I12" s="9" t="s">
        <v>46</v>
      </c>
      <c r="J12" s="9" t="s">
        <v>417</v>
      </c>
      <c r="K12" s="9" t="s">
        <v>46</v>
      </c>
      <c r="L12" s="9" t="s">
        <v>46</v>
      </c>
      <c r="M12" s="9" t="s">
        <v>418</v>
      </c>
      <c r="N12" s="9" t="s">
        <v>419</v>
      </c>
      <c r="O12" s="9" t="s">
        <v>420</v>
      </c>
      <c r="P12" s="9" t="s">
        <v>46</v>
      </c>
      <c r="Q12" s="9" t="s">
        <v>46</v>
      </c>
      <c r="R12" s="9" t="s">
        <v>421</v>
      </c>
      <c r="S12" s="9" t="s">
        <v>422</v>
      </c>
      <c r="T12" s="9" t="s">
        <v>46</v>
      </c>
      <c r="U12" s="9" t="s">
        <v>423</v>
      </c>
    </row>
    <row r="13" customFormat="false" ht="77.6" hidden="false" customHeight="false" outlineLevel="0" collapsed="false">
      <c r="A13" s="8"/>
      <c r="B13" s="8" t="s">
        <v>424</v>
      </c>
      <c r="C13" s="9" t="s">
        <v>85</v>
      </c>
      <c r="D13" s="17" t="s">
        <v>425</v>
      </c>
      <c r="E13" s="9" t="s">
        <v>85</v>
      </c>
      <c r="F13" s="9" t="s">
        <v>46</v>
      </c>
      <c r="G13" s="9" t="s">
        <v>46</v>
      </c>
      <c r="H13" s="9" t="s">
        <v>426</v>
      </c>
      <c r="I13" s="9" t="s">
        <v>427</v>
      </c>
      <c r="J13" s="9" t="s">
        <v>428</v>
      </c>
      <c r="K13" s="9" t="s">
        <v>429</v>
      </c>
      <c r="L13" s="9" t="s">
        <v>46</v>
      </c>
      <c r="M13" s="9" t="s">
        <v>430</v>
      </c>
      <c r="N13" s="9" t="s">
        <v>431</v>
      </c>
      <c r="O13" s="9" t="s">
        <v>432</v>
      </c>
      <c r="P13" s="9" t="s">
        <v>433</v>
      </c>
      <c r="Q13" s="10" t="s">
        <v>434</v>
      </c>
      <c r="R13" s="9" t="s">
        <v>46</v>
      </c>
      <c r="S13" s="9" t="s">
        <v>435</v>
      </c>
      <c r="T13" s="9" t="s">
        <v>436</v>
      </c>
      <c r="U13" s="9" t="s">
        <v>437</v>
      </c>
    </row>
    <row r="14" customFormat="false" ht="50.7" hidden="false" customHeight="false" outlineLevel="0" collapsed="false">
      <c r="A14" s="8"/>
      <c r="B14" s="8" t="s">
        <v>438</v>
      </c>
      <c r="C14" s="9" t="s">
        <v>439</v>
      </c>
      <c r="D14" s="9" t="s">
        <v>440</v>
      </c>
      <c r="E14" s="9" t="s">
        <v>441</v>
      </c>
      <c r="F14" s="9" t="s">
        <v>46</v>
      </c>
      <c r="G14" s="9" t="s">
        <v>46</v>
      </c>
      <c r="H14" s="9" t="s">
        <v>46</v>
      </c>
      <c r="I14" s="9" t="s">
        <v>46</v>
      </c>
      <c r="J14" s="9" t="s">
        <v>442</v>
      </c>
      <c r="K14" s="9" t="s">
        <v>46</v>
      </c>
      <c r="L14" s="9" t="s">
        <v>46</v>
      </c>
      <c r="M14" s="9" t="s">
        <v>443</v>
      </c>
      <c r="N14" s="9" t="s">
        <v>444</v>
      </c>
      <c r="O14" s="9" t="s">
        <v>445</v>
      </c>
      <c r="P14" s="10" t="s">
        <v>446</v>
      </c>
      <c r="Q14" s="10" t="s">
        <v>447</v>
      </c>
      <c r="R14" s="9" t="s">
        <v>46</v>
      </c>
      <c r="S14" s="9" t="s">
        <v>448</v>
      </c>
      <c r="T14" s="9" t="s">
        <v>46</v>
      </c>
      <c r="U14" s="9" t="s">
        <v>449</v>
      </c>
    </row>
    <row r="15" customFormat="false" ht="26.85" hidden="false" customHeight="false" outlineLevel="0" collapsed="false">
      <c r="A15" s="8"/>
      <c r="B15" s="8" t="s">
        <v>450</v>
      </c>
      <c r="C15" s="9" t="s">
        <v>451</v>
      </c>
      <c r="D15" s="9" t="s">
        <v>452</v>
      </c>
      <c r="E15" s="9" t="s">
        <v>46</v>
      </c>
      <c r="F15" s="9" t="s">
        <v>46</v>
      </c>
      <c r="G15" s="9" t="s">
        <v>46</v>
      </c>
      <c r="H15" s="9" t="s">
        <v>46</v>
      </c>
      <c r="I15" s="9" t="s">
        <v>46</v>
      </c>
      <c r="J15" s="9" t="s">
        <v>46</v>
      </c>
      <c r="K15" s="9" t="s">
        <v>46</v>
      </c>
      <c r="L15" s="9" t="s">
        <v>46</v>
      </c>
      <c r="M15" s="9" t="s">
        <v>451</v>
      </c>
      <c r="N15" s="9" t="s">
        <v>451</v>
      </c>
      <c r="O15" s="9" t="s">
        <v>451</v>
      </c>
      <c r="P15" s="9" t="s">
        <v>46</v>
      </c>
      <c r="Q15" s="9" t="s">
        <v>46</v>
      </c>
      <c r="R15" s="9" t="s">
        <v>46</v>
      </c>
      <c r="S15" s="9" t="s">
        <v>453</v>
      </c>
      <c r="T15" s="9" t="s">
        <v>46</v>
      </c>
      <c r="U15" s="9" t="s">
        <v>451</v>
      </c>
    </row>
    <row r="16" customFormat="false" ht="64.9" hidden="false" customHeight="false" outlineLevel="0" collapsed="false">
      <c r="A16" s="8"/>
      <c r="B16" s="8" t="s">
        <v>454</v>
      </c>
      <c r="C16" s="9" t="s">
        <v>46</v>
      </c>
      <c r="D16" s="9" t="s">
        <v>455</v>
      </c>
      <c r="E16" s="9" t="s">
        <v>46</v>
      </c>
      <c r="F16" s="9" t="s">
        <v>46</v>
      </c>
      <c r="G16" s="9" t="s">
        <v>46</v>
      </c>
      <c r="H16" s="9" t="s">
        <v>46</v>
      </c>
      <c r="I16" s="9" t="s">
        <v>46</v>
      </c>
      <c r="J16" s="9" t="s">
        <v>456</v>
      </c>
      <c r="K16" s="9" t="s">
        <v>46</v>
      </c>
      <c r="L16" s="11" t="s">
        <v>457</v>
      </c>
      <c r="M16" s="9" t="s">
        <v>458</v>
      </c>
      <c r="N16" s="9" t="s">
        <v>459</v>
      </c>
      <c r="O16" s="9" t="s">
        <v>460</v>
      </c>
      <c r="P16" s="9" t="s">
        <v>46</v>
      </c>
      <c r="Q16" s="9" t="s">
        <v>46</v>
      </c>
      <c r="R16" s="9" t="s">
        <v>46</v>
      </c>
      <c r="S16" s="9" t="s">
        <v>461</v>
      </c>
      <c r="T16" s="9" t="s">
        <v>46</v>
      </c>
      <c r="U16" s="9" t="s">
        <v>462</v>
      </c>
    </row>
    <row r="17" customFormat="false" ht="39.55" hidden="false" customHeight="false" outlineLevel="0" collapsed="false">
      <c r="A17" s="8"/>
      <c r="B17" s="8" t="s">
        <v>463</v>
      </c>
      <c r="C17" s="9" t="s">
        <v>464</v>
      </c>
      <c r="D17" s="10" t="s">
        <v>465</v>
      </c>
      <c r="E17" s="9" t="s">
        <v>466</v>
      </c>
      <c r="F17" s="9" t="s">
        <v>467</v>
      </c>
      <c r="G17" s="9" t="s">
        <v>46</v>
      </c>
      <c r="H17" s="9" t="s">
        <v>46</v>
      </c>
      <c r="I17" s="9" t="s">
        <v>46</v>
      </c>
      <c r="J17" s="9" t="s">
        <v>46</v>
      </c>
      <c r="K17" s="9" t="s">
        <v>46</v>
      </c>
      <c r="L17" s="9" t="s">
        <v>46</v>
      </c>
      <c r="M17" s="9" t="s">
        <v>468</v>
      </c>
      <c r="N17" s="9" t="s">
        <v>46</v>
      </c>
      <c r="O17" s="9" t="s">
        <v>469</v>
      </c>
      <c r="P17" s="9" t="s">
        <v>46</v>
      </c>
      <c r="Q17" s="9" t="s">
        <v>46</v>
      </c>
      <c r="R17" s="9" t="s">
        <v>46</v>
      </c>
      <c r="S17" s="9" t="s">
        <v>46</v>
      </c>
      <c r="T17" s="9" t="s">
        <v>46</v>
      </c>
      <c r="U17" s="9" t="s">
        <v>470</v>
      </c>
    </row>
    <row r="18" customFormat="false" ht="39.55" hidden="false" customHeight="false" outlineLevel="0" collapsed="false">
      <c r="A18" s="8"/>
      <c r="B18" s="8" t="s">
        <v>471</v>
      </c>
      <c r="C18" s="9" t="s">
        <v>79</v>
      </c>
      <c r="D18" s="9" t="s">
        <v>472</v>
      </c>
      <c r="E18" s="9" t="s">
        <v>473</v>
      </c>
      <c r="F18" s="9" t="s">
        <v>46</v>
      </c>
      <c r="G18" s="9" t="s">
        <v>474</v>
      </c>
      <c r="H18" s="9" t="s">
        <v>475</v>
      </c>
      <c r="I18" s="9" t="s">
        <v>476</v>
      </c>
      <c r="J18" s="9" t="s">
        <v>477</v>
      </c>
      <c r="K18" s="9" t="s">
        <v>478</v>
      </c>
      <c r="L18" s="9" t="s">
        <v>479</v>
      </c>
      <c r="M18" s="9" t="s">
        <v>480</v>
      </c>
      <c r="N18" s="9" t="s">
        <v>481</v>
      </c>
      <c r="O18" s="9" t="s">
        <v>482</v>
      </c>
      <c r="P18" s="9" t="s">
        <v>46</v>
      </c>
      <c r="Q18" s="9" t="s">
        <v>46</v>
      </c>
      <c r="R18" s="9" t="s">
        <v>46</v>
      </c>
      <c r="S18" s="9" t="s">
        <v>483</v>
      </c>
      <c r="T18" s="9" t="s">
        <v>484</v>
      </c>
      <c r="U18" s="9" t="s">
        <v>485</v>
      </c>
    </row>
    <row r="19" customFormat="false" ht="64.9" hidden="false" customHeight="false" outlineLevel="0" collapsed="false">
      <c r="A19" s="8"/>
      <c r="B19" s="8" t="s">
        <v>486</v>
      </c>
      <c r="C19" s="9" t="s">
        <v>46</v>
      </c>
      <c r="D19" s="9" t="s">
        <v>487</v>
      </c>
      <c r="E19" s="9" t="s">
        <v>46</v>
      </c>
      <c r="F19" s="9" t="s">
        <v>46</v>
      </c>
      <c r="G19" s="9" t="s">
        <v>46</v>
      </c>
      <c r="H19" s="9" t="s">
        <v>488</v>
      </c>
      <c r="I19" s="9" t="s">
        <v>489</v>
      </c>
      <c r="J19" s="9" t="s">
        <v>489</v>
      </c>
      <c r="K19" s="9" t="s">
        <v>490</v>
      </c>
      <c r="L19" s="9" t="s">
        <v>46</v>
      </c>
      <c r="M19" s="9" t="s">
        <v>491</v>
      </c>
      <c r="N19" s="9" t="s">
        <v>492</v>
      </c>
      <c r="O19" s="9" t="s">
        <v>493</v>
      </c>
      <c r="P19" s="9" t="s">
        <v>46</v>
      </c>
      <c r="Q19" s="9" t="s">
        <v>46</v>
      </c>
      <c r="R19" s="9" t="s">
        <v>46</v>
      </c>
      <c r="S19" s="9" t="s">
        <v>494</v>
      </c>
      <c r="T19" s="9" t="s">
        <v>46</v>
      </c>
      <c r="U19" s="9" t="s">
        <v>495</v>
      </c>
    </row>
    <row r="20" customFormat="false" ht="26.85" hidden="false" customHeight="false" outlineLevel="0" collapsed="false">
      <c r="A20" s="4" t="s">
        <v>496</v>
      </c>
      <c r="B20" s="4" t="s">
        <v>23</v>
      </c>
      <c r="C20" s="5" t="s">
        <v>497</v>
      </c>
      <c r="D20" s="6" t="s">
        <v>498</v>
      </c>
      <c r="E20" s="5" t="s">
        <v>101</v>
      </c>
      <c r="F20" s="5" t="s">
        <v>101</v>
      </c>
      <c r="G20" s="5" t="s">
        <v>499</v>
      </c>
      <c r="H20" s="5" t="s">
        <v>499</v>
      </c>
      <c r="I20" s="5" t="s">
        <v>499</v>
      </c>
      <c r="J20" s="5" t="s">
        <v>500</v>
      </c>
      <c r="K20" s="5" t="s">
        <v>499</v>
      </c>
      <c r="L20" s="5" t="s">
        <v>499</v>
      </c>
      <c r="M20" s="5" t="s">
        <v>499</v>
      </c>
      <c r="N20" s="5" t="s">
        <v>501</v>
      </c>
      <c r="O20" s="5" t="s">
        <v>502</v>
      </c>
      <c r="P20" s="5" t="s">
        <v>499</v>
      </c>
      <c r="Q20" s="5" t="s">
        <v>499</v>
      </c>
      <c r="R20" s="5" t="s">
        <v>499</v>
      </c>
      <c r="S20" s="5" t="s">
        <v>499</v>
      </c>
      <c r="T20" s="6" t="s">
        <v>503</v>
      </c>
      <c r="U20" s="5" t="s">
        <v>504</v>
      </c>
    </row>
    <row r="21" customFormat="false" ht="39.55" hidden="false" customHeight="false" outlineLevel="0" collapsed="false">
      <c r="A21" s="8"/>
      <c r="B21" s="8" t="s">
        <v>505</v>
      </c>
      <c r="C21" s="9" t="s">
        <v>506</v>
      </c>
      <c r="D21" s="9" t="s">
        <v>507</v>
      </c>
      <c r="E21" s="10" t="s">
        <v>508</v>
      </c>
      <c r="F21" s="10" t="s">
        <v>508</v>
      </c>
      <c r="G21" s="10" t="s">
        <v>508</v>
      </c>
      <c r="H21" s="10" t="s">
        <v>508</v>
      </c>
      <c r="I21" s="10" t="s">
        <v>508</v>
      </c>
      <c r="J21" s="9" t="s">
        <v>509</v>
      </c>
      <c r="K21" s="10" t="s">
        <v>508</v>
      </c>
      <c r="L21" s="10" t="s">
        <v>508</v>
      </c>
      <c r="M21" s="10" t="s">
        <v>508</v>
      </c>
      <c r="N21" s="9" t="s">
        <v>510</v>
      </c>
      <c r="O21" s="9" t="s">
        <v>511</v>
      </c>
      <c r="P21" s="10" t="s">
        <v>508</v>
      </c>
      <c r="Q21" s="10" t="s">
        <v>508</v>
      </c>
      <c r="R21" s="10" t="s">
        <v>508</v>
      </c>
      <c r="S21" s="10" t="s">
        <v>508</v>
      </c>
      <c r="T21" s="9" t="s">
        <v>46</v>
      </c>
      <c r="U21" s="9" t="s">
        <v>512</v>
      </c>
    </row>
    <row r="22" customFormat="false" ht="15" hidden="false" customHeight="false" outlineLevel="0" collapsed="false">
      <c r="A22" s="8"/>
      <c r="B22" s="8" t="s">
        <v>97</v>
      </c>
      <c r="C22" s="10" t="s">
        <v>513</v>
      </c>
      <c r="D22" s="10" t="s">
        <v>514</v>
      </c>
      <c r="E22" s="10" t="s">
        <v>508</v>
      </c>
      <c r="F22" s="10" t="s">
        <v>508</v>
      </c>
      <c r="G22" s="10" t="s">
        <v>508</v>
      </c>
      <c r="H22" s="10" t="s">
        <v>508</v>
      </c>
      <c r="I22" s="10" t="s">
        <v>508</v>
      </c>
      <c r="J22" s="9" t="s">
        <v>102</v>
      </c>
      <c r="K22" s="10" t="s">
        <v>508</v>
      </c>
      <c r="L22" s="10" t="s">
        <v>508</v>
      </c>
      <c r="M22" s="10" t="s">
        <v>508</v>
      </c>
      <c r="N22" s="9" t="s">
        <v>515</v>
      </c>
      <c r="O22" s="9" t="s">
        <v>516</v>
      </c>
      <c r="P22" s="10" t="s">
        <v>508</v>
      </c>
      <c r="Q22" s="10" t="s">
        <v>508</v>
      </c>
      <c r="R22" s="10" t="s">
        <v>508</v>
      </c>
      <c r="S22" s="10" t="s">
        <v>508</v>
      </c>
      <c r="T22" s="9" t="s">
        <v>46</v>
      </c>
      <c r="U22" s="9" t="s">
        <v>46</v>
      </c>
    </row>
    <row r="23" customFormat="false" ht="39.55" hidden="false" customHeight="false" outlineLevel="0" collapsed="false">
      <c r="A23" s="8"/>
      <c r="B23" s="8" t="s">
        <v>517</v>
      </c>
      <c r="C23" s="9" t="s">
        <v>451</v>
      </c>
      <c r="D23" s="9" t="s">
        <v>451</v>
      </c>
      <c r="E23" s="10" t="s">
        <v>508</v>
      </c>
      <c r="F23" s="10" t="s">
        <v>508</v>
      </c>
      <c r="G23" s="10" t="s">
        <v>508</v>
      </c>
      <c r="H23" s="10" t="s">
        <v>508</v>
      </c>
      <c r="I23" s="10" t="s">
        <v>508</v>
      </c>
      <c r="J23" s="9" t="s">
        <v>46</v>
      </c>
      <c r="K23" s="10" t="s">
        <v>508</v>
      </c>
      <c r="L23" s="10" t="s">
        <v>508</v>
      </c>
      <c r="M23" s="10" t="s">
        <v>508</v>
      </c>
      <c r="N23" s="9" t="s">
        <v>518</v>
      </c>
      <c r="O23" s="9" t="s">
        <v>79</v>
      </c>
      <c r="P23" s="10" t="s">
        <v>508</v>
      </c>
      <c r="Q23" s="10" t="s">
        <v>508</v>
      </c>
      <c r="R23" s="10" t="s">
        <v>508</v>
      </c>
      <c r="S23" s="10" t="s">
        <v>508</v>
      </c>
      <c r="T23" s="9" t="s">
        <v>46</v>
      </c>
      <c r="U23" s="9" t="s">
        <v>519</v>
      </c>
    </row>
    <row r="24" customFormat="false" ht="52.2" hidden="false" customHeight="false" outlineLevel="0" collapsed="false">
      <c r="A24" s="8"/>
      <c r="B24" s="8" t="s">
        <v>104</v>
      </c>
      <c r="C24" s="9" t="s">
        <v>520</v>
      </c>
      <c r="D24" s="9" t="s">
        <v>521</v>
      </c>
      <c r="E24" s="10" t="s">
        <v>508</v>
      </c>
      <c r="F24" s="10" t="s">
        <v>508</v>
      </c>
      <c r="G24" s="10" t="s">
        <v>508</v>
      </c>
      <c r="H24" s="10" t="s">
        <v>508</v>
      </c>
      <c r="I24" s="10" t="s">
        <v>508</v>
      </c>
      <c r="J24" s="9" t="s">
        <v>522</v>
      </c>
      <c r="K24" s="10" t="s">
        <v>508</v>
      </c>
      <c r="L24" s="10" t="s">
        <v>508</v>
      </c>
      <c r="M24" s="10" t="s">
        <v>508</v>
      </c>
      <c r="N24" s="9" t="s">
        <v>523</v>
      </c>
      <c r="O24" s="9" t="s">
        <v>524</v>
      </c>
      <c r="P24" s="10" t="s">
        <v>508</v>
      </c>
      <c r="Q24" s="10" t="s">
        <v>508</v>
      </c>
      <c r="R24" s="10" t="s">
        <v>508</v>
      </c>
      <c r="S24" s="10" t="s">
        <v>508</v>
      </c>
      <c r="T24" s="9" t="s">
        <v>525</v>
      </c>
      <c r="U24" s="9" t="s">
        <v>526</v>
      </c>
    </row>
    <row r="25" customFormat="false" ht="52.2" hidden="false" customHeight="false" outlineLevel="0" collapsed="false">
      <c r="A25" s="8"/>
      <c r="B25" s="8" t="s">
        <v>386</v>
      </c>
      <c r="C25" s="9" t="s">
        <v>46</v>
      </c>
      <c r="D25" s="17" t="s">
        <v>527</v>
      </c>
      <c r="E25" s="10" t="s">
        <v>508</v>
      </c>
      <c r="F25" s="10" t="s">
        <v>508</v>
      </c>
      <c r="G25" s="10" t="s">
        <v>508</v>
      </c>
      <c r="H25" s="10" t="s">
        <v>508</v>
      </c>
      <c r="I25" s="10" t="s">
        <v>508</v>
      </c>
      <c r="J25" s="9" t="s">
        <v>528</v>
      </c>
      <c r="K25" s="7" t="s">
        <v>508</v>
      </c>
      <c r="L25" s="10" t="s">
        <v>508</v>
      </c>
      <c r="M25" s="7" t="s">
        <v>508</v>
      </c>
      <c r="N25" s="9" t="s">
        <v>529</v>
      </c>
      <c r="O25" s="9" t="s">
        <v>530</v>
      </c>
      <c r="P25" s="10" t="s">
        <v>508</v>
      </c>
      <c r="Q25" s="10" t="s">
        <v>508</v>
      </c>
      <c r="R25" s="10" t="s">
        <v>508</v>
      </c>
      <c r="S25" s="10" t="s">
        <v>508</v>
      </c>
      <c r="T25" s="9" t="s">
        <v>531</v>
      </c>
      <c r="U25" s="9" t="s">
        <v>532</v>
      </c>
    </row>
    <row r="26" customFormat="false" ht="39.55" hidden="false" customHeight="false" outlineLevel="0" collapsed="false">
      <c r="A26" s="8"/>
      <c r="B26" s="8" t="s">
        <v>533</v>
      </c>
      <c r="C26" s="9" t="s">
        <v>534</v>
      </c>
      <c r="D26" s="9" t="s">
        <v>535</v>
      </c>
      <c r="E26" s="10" t="s">
        <v>508</v>
      </c>
      <c r="F26" s="10" t="s">
        <v>508</v>
      </c>
      <c r="G26" s="10" t="s">
        <v>508</v>
      </c>
      <c r="H26" s="10" t="s">
        <v>508</v>
      </c>
      <c r="I26" s="10" t="s">
        <v>508</v>
      </c>
      <c r="J26" s="9" t="s">
        <v>536</v>
      </c>
      <c r="K26" s="10" t="s">
        <v>508</v>
      </c>
      <c r="L26" s="10" t="s">
        <v>508</v>
      </c>
      <c r="M26" s="10" t="s">
        <v>508</v>
      </c>
      <c r="N26" s="9" t="s">
        <v>79</v>
      </c>
      <c r="O26" s="9" t="s">
        <v>537</v>
      </c>
      <c r="P26" s="10" t="s">
        <v>508</v>
      </c>
      <c r="Q26" s="10" t="s">
        <v>508</v>
      </c>
      <c r="R26" s="10" t="s">
        <v>508</v>
      </c>
      <c r="S26" s="10" t="s">
        <v>508</v>
      </c>
      <c r="T26" s="9" t="s">
        <v>46</v>
      </c>
      <c r="U26" s="9" t="s">
        <v>46</v>
      </c>
    </row>
    <row r="27" customFormat="false" ht="52.2" hidden="false" customHeight="false" outlineLevel="0" collapsed="false">
      <c r="A27" s="8"/>
      <c r="B27" s="8" t="s">
        <v>538</v>
      </c>
      <c r="C27" s="9" t="s">
        <v>539</v>
      </c>
      <c r="D27" s="9" t="s">
        <v>79</v>
      </c>
      <c r="E27" s="10" t="s">
        <v>508</v>
      </c>
      <c r="F27" s="10" t="s">
        <v>508</v>
      </c>
      <c r="G27" s="10" t="s">
        <v>508</v>
      </c>
      <c r="H27" s="10" t="s">
        <v>508</v>
      </c>
      <c r="I27" s="10" t="s">
        <v>508</v>
      </c>
      <c r="J27" s="10" t="s">
        <v>540</v>
      </c>
      <c r="K27" s="10" t="s">
        <v>508</v>
      </c>
      <c r="L27" s="10" t="s">
        <v>508</v>
      </c>
      <c r="M27" s="10" t="s">
        <v>508</v>
      </c>
      <c r="N27" s="10" t="s">
        <v>541</v>
      </c>
      <c r="O27" s="9" t="s">
        <v>542</v>
      </c>
      <c r="P27" s="10" t="s">
        <v>508</v>
      </c>
      <c r="Q27" s="10" t="s">
        <v>508</v>
      </c>
      <c r="R27" s="10" t="s">
        <v>508</v>
      </c>
      <c r="S27" s="10" t="s">
        <v>508</v>
      </c>
      <c r="T27" s="9" t="s">
        <v>543</v>
      </c>
      <c r="U27" s="9" t="s">
        <v>544</v>
      </c>
    </row>
    <row r="28" customFormat="false" ht="77.6" hidden="false" customHeight="false" outlineLevel="0" collapsed="false">
      <c r="A28" s="8"/>
      <c r="B28" s="8" t="s">
        <v>545</v>
      </c>
      <c r="C28" s="9" t="s">
        <v>546</v>
      </c>
      <c r="D28" s="9" t="s">
        <v>79</v>
      </c>
      <c r="E28" s="10" t="s">
        <v>508</v>
      </c>
      <c r="F28" s="10" t="s">
        <v>508</v>
      </c>
      <c r="G28" s="10" t="s">
        <v>508</v>
      </c>
      <c r="H28" s="10" t="s">
        <v>508</v>
      </c>
      <c r="I28" s="10" t="s">
        <v>508</v>
      </c>
      <c r="J28" s="9" t="s">
        <v>547</v>
      </c>
      <c r="K28" s="10" t="s">
        <v>508</v>
      </c>
      <c r="L28" s="10" t="s">
        <v>508</v>
      </c>
      <c r="M28" s="10" t="s">
        <v>508</v>
      </c>
      <c r="N28" s="9" t="s">
        <v>548</v>
      </c>
      <c r="O28" s="9" t="s">
        <v>549</v>
      </c>
      <c r="P28" s="10" t="s">
        <v>508</v>
      </c>
      <c r="Q28" s="10" t="s">
        <v>508</v>
      </c>
      <c r="R28" s="10" t="s">
        <v>508</v>
      </c>
      <c r="S28" s="10" t="s">
        <v>508</v>
      </c>
      <c r="T28" s="9" t="s">
        <v>46</v>
      </c>
      <c r="U28" s="9" t="s">
        <v>550</v>
      </c>
    </row>
    <row r="29" customFormat="false" ht="26.85" hidden="false" customHeight="false" outlineLevel="0" collapsed="false">
      <c r="A29" s="8"/>
      <c r="B29" s="8" t="s">
        <v>551</v>
      </c>
      <c r="C29" s="9" t="s">
        <v>46</v>
      </c>
      <c r="D29" s="9" t="s">
        <v>552</v>
      </c>
      <c r="E29" s="10" t="s">
        <v>508</v>
      </c>
      <c r="F29" s="10" t="s">
        <v>508</v>
      </c>
      <c r="G29" s="10" t="s">
        <v>508</v>
      </c>
      <c r="H29" s="10" t="s">
        <v>508</v>
      </c>
      <c r="I29" s="10" t="s">
        <v>508</v>
      </c>
      <c r="J29" s="9" t="s">
        <v>46</v>
      </c>
      <c r="K29" s="10" t="s">
        <v>508</v>
      </c>
      <c r="L29" s="10" t="s">
        <v>508</v>
      </c>
      <c r="M29" s="10" t="s">
        <v>508</v>
      </c>
      <c r="N29" s="9" t="s">
        <v>46</v>
      </c>
      <c r="O29" s="9" t="s">
        <v>46</v>
      </c>
      <c r="P29" s="10" t="s">
        <v>508</v>
      </c>
      <c r="Q29" s="10" t="s">
        <v>508</v>
      </c>
      <c r="R29" s="10" t="s">
        <v>508</v>
      </c>
      <c r="S29" s="10" t="s">
        <v>508</v>
      </c>
      <c r="T29" s="9" t="s">
        <v>46</v>
      </c>
      <c r="U29" s="9" t="s">
        <v>46</v>
      </c>
    </row>
    <row r="30" customFormat="false" ht="26.85" hidden="false" customHeight="false" outlineLevel="0" collapsed="false">
      <c r="A30" s="8"/>
      <c r="B30" s="8" t="s">
        <v>553</v>
      </c>
      <c r="C30" s="10" t="s">
        <v>554</v>
      </c>
      <c r="D30" s="10" t="s">
        <v>555</v>
      </c>
      <c r="E30" s="10" t="s">
        <v>508</v>
      </c>
      <c r="F30" s="10" t="s">
        <v>508</v>
      </c>
      <c r="G30" s="10" t="s">
        <v>508</v>
      </c>
      <c r="H30" s="10" t="s">
        <v>508</v>
      </c>
      <c r="I30" s="10" t="s">
        <v>508</v>
      </c>
      <c r="J30" s="9" t="s">
        <v>556</v>
      </c>
      <c r="K30" s="10" t="s">
        <v>508</v>
      </c>
      <c r="L30" s="10" t="s">
        <v>508</v>
      </c>
      <c r="M30" s="10" t="s">
        <v>508</v>
      </c>
      <c r="N30" s="9" t="s">
        <v>557</v>
      </c>
      <c r="O30" s="9" t="s">
        <v>79</v>
      </c>
      <c r="P30" s="10" t="s">
        <v>508</v>
      </c>
      <c r="Q30" s="10" t="s">
        <v>508</v>
      </c>
      <c r="R30" s="10" t="s">
        <v>508</v>
      </c>
      <c r="S30" s="10" t="s">
        <v>508</v>
      </c>
      <c r="T30" s="9" t="s">
        <v>46</v>
      </c>
      <c r="U30" s="9" t="s">
        <v>558</v>
      </c>
    </row>
    <row r="31" customFormat="false" ht="52.2" hidden="false" customHeight="false" outlineLevel="0" collapsed="false">
      <c r="A31" s="8"/>
      <c r="B31" s="8" t="s">
        <v>559</v>
      </c>
      <c r="C31" s="9" t="s">
        <v>560</v>
      </c>
      <c r="D31" s="9" t="s">
        <v>79</v>
      </c>
      <c r="E31" s="10" t="s">
        <v>508</v>
      </c>
      <c r="F31" s="10" t="s">
        <v>508</v>
      </c>
      <c r="G31" s="10" t="s">
        <v>508</v>
      </c>
      <c r="H31" s="10" t="s">
        <v>508</v>
      </c>
      <c r="I31" s="10" t="s">
        <v>508</v>
      </c>
      <c r="J31" s="9" t="s">
        <v>79</v>
      </c>
      <c r="K31" s="10" t="s">
        <v>508</v>
      </c>
      <c r="L31" s="10" t="s">
        <v>508</v>
      </c>
      <c r="M31" s="10" t="s">
        <v>508</v>
      </c>
      <c r="N31" s="9" t="s">
        <v>79</v>
      </c>
      <c r="O31" s="9" t="s">
        <v>79</v>
      </c>
      <c r="P31" s="10" t="s">
        <v>508</v>
      </c>
      <c r="Q31" s="10" t="s">
        <v>508</v>
      </c>
      <c r="R31" s="10" t="s">
        <v>508</v>
      </c>
      <c r="S31" s="10" t="s">
        <v>508</v>
      </c>
      <c r="T31" s="9" t="s">
        <v>79</v>
      </c>
      <c r="U31" s="9" t="s">
        <v>79</v>
      </c>
    </row>
    <row r="32" customFormat="false" ht="39.55" hidden="false" customHeight="false" outlineLevel="0" collapsed="false">
      <c r="A32" s="8"/>
      <c r="B32" s="8" t="s">
        <v>561</v>
      </c>
      <c r="C32" s="9" t="s">
        <v>101</v>
      </c>
      <c r="D32" s="10" t="s">
        <v>562</v>
      </c>
      <c r="E32" s="10" t="s">
        <v>508</v>
      </c>
      <c r="F32" s="10" t="s">
        <v>508</v>
      </c>
      <c r="G32" s="10" t="s">
        <v>508</v>
      </c>
      <c r="H32" s="10" t="s">
        <v>508</v>
      </c>
      <c r="I32" s="10" t="s">
        <v>508</v>
      </c>
      <c r="J32" s="10" t="s">
        <v>563</v>
      </c>
      <c r="K32" s="10" t="s">
        <v>508</v>
      </c>
      <c r="L32" s="10" t="s">
        <v>508</v>
      </c>
      <c r="M32" s="10" t="s">
        <v>508</v>
      </c>
      <c r="N32" s="9" t="s">
        <v>564</v>
      </c>
      <c r="O32" s="9" t="s">
        <v>85</v>
      </c>
      <c r="P32" s="10" t="s">
        <v>508</v>
      </c>
      <c r="Q32" s="10" t="s">
        <v>508</v>
      </c>
      <c r="R32" s="10" t="s">
        <v>508</v>
      </c>
      <c r="S32" s="10" t="s">
        <v>508</v>
      </c>
      <c r="T32" s="9" t="s">
        <v>46</v>
      </c>
      <c r="U32" s="10" t="s">
        <v>565</v>
      </c>
    </row>
    <row r="34" customFormat="false" ht="15" hidden="false" customHeight="false" outlineLevel="0" collapsed="false">
      <c r="A34" s="13" t="s">
        <v>194</v>
      </c>
    </row>
    <row r="35" customFormat="false" ht="15" hidden="false" customHeight="false" outlineLevel="0" collapsed="false">
      <c r="A35" s="14" t="s">
        <v>566</v>
      </c>
    </row>
    <row r="36" customFormat="false" ht="15" hidden="false" customHeight="false" outlineLevel="0" collapsed="false">
      <c r="A36" s="14" t="s">
        <v>567</v>
      </c>
    </row>
    <row r="37" customFormat="false" ht="15" hidden="false" customHeight="false" outlineLevel="0" collapsed="false">
      <c r="A37" s="14" t="s">
        <v>568</v>
      </c>
    </row>
    <row r="38" customFormat="false" ht="15" hidden="false" customHeight="false" outlineLevel="0" collapsed="false">
      <c r="A38" s="14" t="s">
        <v>569</v>
      </c>
    </row>
    <row r="39" customFormat="false" ht="15" hidden="false" customHeight="false" outlineLevel="0" collapsed="false">
      <c r="A39" s="14" t="s">
        <v>570</v>
      </c>
    </row>
    <row r="40" customFormat="false" ht="15" hidden="false" customHeight="false" outlineLevel="0" collapsed="false">
      <c r="A40" s="14" t="s">
        <v>571</v>
      </c>
    </row>
    <row r="41" customFormat="false" ht="15" hidden="false" customHeight="false" outlineLevel="0" collapsed="false">
      <c r="A41" s="14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573</v>
      </c>
    </row>
    <row r="2" customFormat="false" ht="15" hidden="false" customHeight="false" outlineLevel="0" collapsed="false">
      <c r="A2" s="2" t="s">
        <v>574</v>
      </c>
    </row>
    <row r="4" customFormat="false" ht="15" hidden="false" customHeight="false" outlineLevel="0" collapsed="false">
      <c r="A4" s="13" t="s">
        <v>575</v>
      </c>
    </row>
    <row r="5" customFormat="false" ht="15" hidden="false" customHeight="false" outlineLevel="0" collapsed="false">
      <c r="A5" s="18" t="s">
        <v>576</v>
      </c>
      <c r="B5" s="19" t="n">
        <v>0.6</v>
      </c>
      <c r="C5" s="2" t="s">
        <v>577</v>
      </c>
      <c r="D5" s="2" t="s">
        <v>578</v>
      </c>
    </row>
    <row r="6" customFormat="false" ht="15" hidden="false" customHeight="false" outlineLevel="0" collapsed="false">
      <c r="A6" s="18" t="s">
        <v>579</v>
      </c>
      <c r="B6" s="19" t="n">
        <v>7</v>
      </c>
      <c r="C6" s="2" t="s">
        <v>577</v>
      </c>
      <c r="D6" s="2" t="s">
        <v>580</v>
      </c>
    </row>
    <row r="7" customFormat="false" ht="15" hidden="false" customHeight="false" outlineLevel="0" collapsed="false">
      <c r="A7" s="18" t="s">
        <v>581</v>
      </c>
      <c r="B7" s="19" t="n">
        <v>0</v>
      </c>
      <c r="C7" s="2" t="s">
        <v>577</v>
      </c>
      <c r="D7" s="2" t="s">
        <v>582</v>
      </c>
    </row>
    <row r="8" customFormat="false" ht="15" hidden="false" customHeight="false" outlineLevel="0" collapsed="false">
      <c r="A8" s="18" t="s">
        <v>583</v>
      </c>
      <c r="B8" s="19" t="n">
        <v>0</v>
      </c>
      <c r="C8" s="2" t="s">
        <v>577</v>
      </c>
      <c r="D8" s="2" t="s">
        <v>584</v>
      </c>
    </row>
    <row r="9" customFormat="false" ht="15" hidden="false" customHeight="false" outlineLevel="0" collapsed="false">
      <c r="A9" s="18" t="s">
        <v>585</v>
      </c>
      <c r="B9" s="19" t="n">
        <v>0</v>
      </c>
      <c r="C9" s="2" t="s">
        <v>577</v>
      </c>
      <c r="D9" s="2" t="s">
        <v>586</v>
      </c>
    </row>
    <row r="10" customFormat="false" ht="15" hidden="false" customHeight="false" outlineLevel="0" collapsed="false">
      <c r="A10" s="18" t="s">
        <v>587</v>
      </c>
      <c r="B10" s="19" t="n">
        <v>0</v>
      </c>
      <c r="C10" s="2" t="s">
        <v>577</v>
      </c>
      <c r="D10" s="2" t="s">
        <v>588</v>
      </c>
    </row>
    <row r="11" customFormat="false" ht="15" hidden="false" customHeight="false" outlineLevel="0" collapsed="false">
      <c r="A11" s="18" t="s">
        <v>589</v>
      </c>
      <c r="B11" s="19" t="n">
        <v>1</v>
      </c>
      <c r="C11" s="2" t="s">
        <v>577</v>
      </c>
      <c r="D11" s="2" t="s">
        <v>590</v>
      </c>
    </row>
    <row r="13" customFormat="false" ht="31.5" hidden="false" customHeight="true" outlineLevel="0" collapsed="false">
      <c r="A13" s="3" t="s">
        <v>591</v>
      </c>
      <c r="B13" s="3" t="s">
        <v>592</v>
      </c>
      <c r="C13" s="3" t="s">
        <v>593</v>
      </c>
      <c r="D13" s="3" t="s">
        <v>496</v>
      </c>
      <c r="E13" s="3" t="s">
        <v>594</v>
      </c>
      <c r="F13" s="3" t="s">
        <v>595</v>
      </c>
      <c r="G13" s="3" t="s">
        <v>596</v>
      </c>
      <c r="H13" s="3" t="s">
        <v>597</v>
      </c>
      <c r="I13" s="3" t="s">
        <v>598</v>
      </c>
    </row>
    <row r="14" customFormat="false" ht="15" hidden="false" customHeight="false" outlineLevel="0" collapsed="false">
      <c r="A14" s="20" t="s">
        <v>4</v>
      </c>
      <c r="B14" s="21" t="s">
        <v>599</v>
      </c>
      <c r="C14" s="22" t="n">
        <v>20</v>
      </c>
      <c r="D14" s="22" t="n">
        <v>21</v>
      </c>
      <c r="E14" s="22" t="n">
        <v>22</v>
      </c>
      <c r="F14" s="23" t="n">
        <f aca="false">C14*$B$5</f>
        <v>12</v>
      </c>
      <c r="G14" s="23" t="n">
        <f aca="false">D14*$B$5</f>
        <v>12.6</v>
      </c>
      <c r="H14" s="23" t="n">
        <f aca="false">E14*$B$5</f>
        <v>13.2</v>
      </c>
      <c r="I14" s="24" t="n">
        <f aca="false">IF(C14=0,"",E14/C14-1)</f>
        <v>0.1</v>
      </c>
    </row>
    <row r="15" customFormat="false" ht="15" hidden="false" customHeight="false" outlineLevel="0" collapsed="false">
      <c r="A15" s="20" t="s">
        <v>4</v>
      </c>
      <c r="B15" s="21" t="s">
        <v>600</v>
      </c>
      <c r="C15" s="22" t="n">
        <v>12</v>
      </c>
      <c r="D15" s="22" t="n">
        <v>13</v>
      </c>
      <c r="E15" s="22" t="n">
        <v>14</v>
      </c>
      <c r="F15" s="23" t="n">
        <f aca="false">C15*$B$5</f>
        <v>7.2</v>
      </c>
      <c r="G15" s="23" t="n">
        <f aca="false">D15*$B$5</f>
        <v>7.8</v>
      </c>
      <c r="H15" s="23" t="n">
        <f aca="false">E15*$B$5</f>
        <v>8.4</v>
      </c>
      <c r="I15" s="24" t="n">
        <f aca="false">IF(C15=0,"",E15/C15-1)</f>
        <v>0.166666666666667</v>
      </c>
    </row>
    <row r="16" customFormat="false" ht="15" hidden="false" customHeight="false" outlineLevel="0" collapsed="false">
      <c r="A16" s="20" t="s">
        <v>4</v>
      </c>
      <c r="B16" s="21" t="s">
        <v>601</v>
      </c>
      <c r="C16" s="22" t="n">
        <v>10</v>
      </c>
      <c r="D16" s="22" t="n">
        <v>11</v>
      </c>
      <c r="E16" s="22" t="n">
        <v>12</v>
      </c>
      <c r="F16" s="23" t="n">
        <f aca="false">C16*$B$5</f>
        <v>6</v>
      </c>
      <c r="G16" s="23" t="n">
        <f aca="false">D16*$B$5</f>
        <v>6.6</v>
      </c>
      <c r="H16" s="23" t="n">
        <f aca="false">E16*$B$5</f>
        <v>7.2</v>
      </c>
      <c r="I16" s="24" t="n">
        <f aca="false">IF(C16=0,"",E16/C16-1)</f>
        <v>0.2</v>
      </c>
    </row>
    <row r="17" customFormat="false" ht="15" hidden="false" customHeight="false" outlineLevel="0" collapsed="false">
      <c r="A17" s="20" t="s">
        <v>4</v>
      </c>
      <c r="B17" s="21" t="s">
        <v>602</v>
      </c>
      <c r="C17" s="22" t="n">
        <v>10</v>
      </c>
      <c r="D17" s="22" t="n">
        <v>11</v>
      </c>
      <c r="E17" s="22" t="n">
        <v>12</v>
      </c>
      <c r="F17" s="23" t="n">
        <f aca="false">C17*$B$5</f>
        <v>6</v>
      </c>
      <c r="G17" s="23" t="n">
        <f aca="false">D17*$B$5</f>
        <v>6.6</v>
      </c>
      <c r="H17" s="23" t="n">
        <f aca="false">E17*$B$5</f>
        <v>7.2</v>
      </c>
      <c r="I17" s="24" t="n">
        <f aca="false">IF(C17=0,"",E17/C17-1)</f>
        <v>0.2</v>
      </c>
    </row>
    <row r="18" customFormat="false" ht="15" hidden="false" customHeight="false" outlineLevel="0" collapsed="false">
      <c r="A18" s="20" t="s">
        <v>4</v>
      </c>
      <c r="B18" s="21" t="s">
        <v>603</v>
      </c>
      <c r="C18" s="22" t="n">
        <v>8</v>
      </c>
      <c r="D18" s="22" t="n">
        <v>9</v>
      </c>
      <c r="E18" s="22" t="n">
        <v>10</v>
      </c>
      <c r="F18" s="23" t="n">
        <f aca="false">C18*$B$5</f>
        <v>4.8</v>
      </c>
      <c r="G18" s="23" t="n">
        <f aca="false">D18*$B$5</f>
        <v>5.4</v>
      </c>
      <c r="H18" s="23" t="n">
        <f aca="false">E18*$B$5</f>
        <v>6</v>
      </c>
      <c r="I18" s="24" t="n">
        <f aca="false">IF(C18=0,"",E18/C18-1)</f>
        <v>0.25</v>
      </c>
    </row>
    <row r="19" customFormat="false" ht="15" hidden="false" customHeight="false" outlineLevel="0" collapsed="false">
      <c r="A19" s="20" t="s">
        <v>4</v>
      </c>
      <c r="B19" s="21" t="s">
        <v>604</v>
      </c>
      <c r="C19" s="22" t="n">
        <v>6</v>
      </c>
      <c r="D19" s="22" t="n">
        <v>7</v>
      </c>
      <c r="E19" s="22" t="n">
        <v>8</v>
      </c>
      <c r="F19" s="23" t="n">
        <f aca="false">C19*$B$5</f>
        <v>3.6</v>
      </c>
      <c r="G19" s="23" t="n">
        <f aca="false">D19*$B$5</f>
        <v>4.2</v>
      </c>
      <c r="H19" s="23" t="n">
        <f aca="false">E19*$B$5</f>
        <v>4.8</v>
      </c>
      <c r="I19" s="24" t="n">
        <f aca="false">IF(C19=0,"",E19/C19-1)</f>
        <v>0.333333333333333</v>
      </c>
    </row>
    <row r="20" customFormat="false" ht="15" hidden="false" customHeight="false" outlineLevel="0" collapsed="false">
      <c r="A20" s="20" t="s">
        <v>4</v>
      </c>
      <c r="B20" s="21" t="s">
        <v>605</v>
      </c>
      <c r="C20" s="22" t="n">
        <v>5</v>
      </c>
      <c r="D20" s="22" t="n">
        <v>6</v>
      </c>
      <c r="E20" s="22" t="n">
        <v>7</v>
      </c>
      <c r="F20" s="23" t="n">
        <f aca="false">C20*$B$5</f>
        <v>3</v>
      </c>
      <c r="G20" s="23" t="n">
        <f aca="false">D20*$B$5</f>
        <v>3.6</v>
      </c>
      <c r="H20" s="23" t="n">
        <f aca="false">E20*$B$5</f>
        <v>4.2</v>
      </c>
      <c r="I20" s="24" t="n">
        <f aca="false">IF(C20=0,"",E20/C20-1)</f>
        <v>0.4</v>
      </c>
    </row>
    <row r="21" customFormat="false" ht="15" hidden="false" customHeight="false" outlineLevel="0" collapsed="false">
      <c r="A21" s="20" t="s">
        <v>4</v>
      </c>
      <c r="B21" s="21" t="s">
        <v>606</v>
      </c>
      <c r="C21" s="22" t="n">
        <v>4</v>
      </c>
      <c r="D21" s="22" t="n">
        <v>5</v>
      </c>
      <c r="E21" s="22" t="n">
        <v>6</v>
      </c>
      <c r="F21" s="23" t="n">
        <f aca="false">C21*$B$5</f>
        <v>2.4</v>
      </c>
      <c r="G21" s="23" t="n">
        <f aca="false">D21*$B$5</f>
        <v>3</v>
      </c>
      <c r="H21" s="23" t="n">
        <f aca="false">E21*$B$5</f>
        <v>3.6</v>
      </c>
      <c r="I21" s="24" t="n">
        <f aca="false">IF(C21=0,"",E21/C21-1)</f>
        <v>0.5</v>
      </c>
    </row>
    <row r="22" customFormat="false" ht="15" hidden="false" customHeight="false" outlineLevel="0" collapsed="false">
      <c r="A22" s="20" t="s">
        <v>4</v>
      </c>
      <c r="B22" s="21" t="s">
        <v>607</v>
      </c>
      <c r="C22" s="22" t="n">
        <v>4</v>
      </c>
      <c r="D22" s="22" t="n">
        <v>4</v>
      </c>
      <c r="E22" s="22" t="n">
        <v>4</v>
      </c>
      <c r="F22" s="23" t="n">
        <f aca="false">C22*$B$5</f>
        <v>2.4</v>
      </c>
      <c r="G22" s="23" t="n">
        <f aca="false">D22*$B$5</f>
        <v>2.4</v>
      </c>
      <c r="H22" s="23" t="n">
        <f aca="false">E22*$B$5</f>
        <v>2.4</v>
      </c>
      <c r="I22" s="24" t="n">
        <f aca="false">IF(C22=0,"",E22/C22-1)</f>
        <v>0</v>
      </c>
    </row>
    <row r="23" customFormat="false" ht="15" hidden="false" customHeight="false" outlineLevel="0" collapsed="false">
      <c r="A23" s="20" t="s">
        <v>4</v>
      </c>
      <c r="B23" s="21" t="s">
        <v>608</v>
      </c>
      <c r="C23" s="22" t="n">
        <v>3</v>
      </c>
      <c r="D23" s="22" t="n">
        <v>4</v>
      </c>
      <c r="E23" s="22" t="n">
        <v>5</v>
      </c>
      <c r="F23" s="23" t="n">
        <f aca="false">C23*$B$5</f>
        <v>1.8</v>
      </c>
      <c r="G23" s="23" t="n">
        <f aca="false">D23*$B$5</f>
        <v>2.4</v>
      </c>
      <c r="H23" s="23" t="n">
        <f aca="false">E23*$B$5</f>
        <v>3</v>
      </c>
      <c r="I23" s="24" t="n">
        <f aca="false">IF(C23=0,"",E23/C23-1)</f>
        <v>0.666666666666667</v>
      </c>
    </row>
    <row r="24" customFormat="false" ht="15" hidden="false" customHeight="false" outlineLevel="0" collapsed="false">
      <c r="A24" s="20" t="s">
        <v>4</v>
      </c>
      <c r="B24" s="21" t="s">
        <v>609</v>
      </c>
      <c r="C24" s="22" t="n">
        <v>3</v>
      </c>
      <c r="D24" s="22" t="n">
        <v>3</v>
      </c>
      <c r="E24" s="22" t="n">
        <v>3</v>
      </c>
      <c r="F24" s="23" t="n">
        <f aca="false">C24*$B$5</f>
        <v>1.8</v>
      </c>
      <c r="G24" s="23" t="n">
        <f aca="false">D24*$B$5</f>
        <v>1.8</v>
      </c>
      <c r="H24" s="23" t="n">
        <f aca="false">E24*$B$5</f>
        <v>1.8</v>
      </c>
      <c r="I24" s="24" t="n">
        <f aca="false">IF(C24=0,"",E24/C24-1)</f>
        <v>0</v>
      </c>
    </row>
    <row r="25" customFormat="false" ht="15" hidden="false" customHeight="false" outlineLevel="0" collapsed="false">
      <c r="A25" s="20" t="s">
        <v>4</v>
      </c>
      <c r="B25" s="21" t="s">
        <v>610</v>
      </c>
      <c r="C25" s="22" t="n">
        <v>2</v>
      </c>
      <c r="D25" s="22" t="n">
        <v>2</v>
      </c>
      <c r="E25" s="22" t="n">
        <v>3</v>
      </c>
      <c r="F25" s="23" t="n">
        <f aca="false">C25*$B$5</f>
        <v>1.2</v>
      </c>
      <c r="G25" s="23" t="n">
        <f aca="false">D25*$B$5</f>
        <v>1.2</v>
      </c>
      <c r="H25" s="23" t="n">
        <f aca="false">E25*$B$5</f>
        <v>1.8</v>
      </c>
      <c r="I25" s="24" t="n">
        <f aca="false">IF(C25=0,"",E25/C25-1)</f>
        <v>0.5</v>
      </c>
    </row>
    <row r="26" customFormat="false" ht="15" hidden="false" customHeight="false" outlineLevel="0" collapsed="false">
      <c r="A26" s="20" t="s">
        <v>4</v>
      </c>
      <c r="B26" s="21" t="s">
        <v>611</v>
      </c>
      <c r="C26" s="22" t="n">
        <v>2</v>
      </c>
      <c r="D26" s="22" t="n">
        <v>3</v>
      </c>
      <c r="E26" s="22" t="n">
        <v>3</v>
      </c>
      <c r="F26" s="23" t="n">
        <f aca="false">C26*$B$5</f>
        <v>1.2</v>
      </c>
      <c r="G26" s="23" t="n">
        <f aca="false">D26*$B$5</f>
        <v>1.8</v>
      </c>
      <c r="H26" s="23" t="n">
        <f aca="false">E26*$B$5</f>
        <v>1.8</v>
      </c>
      <c r="I26" s="24" t="n">
        <f aca="false">IF(C26=0,"",E26/C26-1)</f>
        <v>0.5</v>
      </c>
    </row>
    <row r="27" customFormat="false" ht="15" hidden="false" customHeight="false" outlineLevel="0" collapsed="false">
      <c r="A27" s="20" t="s">
        <v>4</v>
      </c>
      <c r="B27" s="21" t="s">
        <v>612</v>
      </c>
      <c r="C27" s="22" t="n">
        <v>2</v>
      </c>
      <c r="D27" s="22" t="n">
        <v>3</v>
      </c>
      <c r="E27" s="22" t="n">
        <v>4</v>
      </c>
      <c r="F27" s="23" t="n">
        <f aca="false">C27*$B$5</f>
        <v>1.2</v>
      </c>
      <c r="G27" s="23" t="n">
        <f aca="false">D27*$B$5</f>
        <v>1.8</v>
      </c>
      <c r="H27" s="23" t="n">
        <f aca="false">E27*$B$5</f>
        <v>2.4</v>
      </c>
      <c r="I27" s="24" t="n">
        <f aca="false">IF(C27=0,"",E27/C27-1)</f>
        <v>1</v>
      </c>
    </row>
    <row r="28" customFormat="false" ht="15" hidden="false" customHeight="false" outlineLevel="0" collapsed="false">
      <c r="A28" s="20" t="s">
        <v>4</v>
      </c>
      <c r="B28" s="21" t="s">
        <v>613</v>
      </c>
      <c r="C28" s="22" t="n">
        <v>2</v>
      </c>
      <c r="D28" s="22" t="n">
        <v>2</v>
      </c>
      <c r="E28" s="22" t="n">
        <v>2</v>
      </c>
      <c r="F28" s="23" t="n">
        <f aca="false">C28*$B$5</f>
        <v>1.2</v>
      </c>
      <c r="G28" s="23" t="n">
        <f aca="false">D28*$B$5</f>
        <v>1.2</v>
      </c>
      <c r="H28" s="23" t="n">
        <f aca="false">E28*$B$5</f>
        <v>1.2</v>
      </c>
      <c r="I28" s="24" t="n">
        <f aca="false">IF(C28=0,"",E28/C28-1)</f>
        <v>0</v>
      </c>
    </row>
    <row r="29" customFormat="false" ht="15" hidden="false" customHeight="false" outlineLevel="0" collapsed="false">
      <c r="A29" s="20" t="s">
        <v>4</v>
      </c>
      <c r="B29" s="21" t="s">
        <v>614</v>
      </c>
      <c r="C29" s="22" t="n">
        <v>1</v>
      </c>
      <c r="D29" s="22" t="n">
        <v>1</v>
      </c>
      <c r="E29" s="22" t="n">
        <v>1</v>
      </c>
      <c r="F29" s="23" t="n">
        <f aca="false">C29*$B$5</f>
        <v>0.6</v>
      </c>
      <c r="G29" s="23" t="n">
        <f aca="false">D29*$B$5</f>
        <v>0.6</v>
      </c>
      <c r="H29" s="23" t="n">
        <f aca="false">E29*$B$5</f>
        <v>0.6</v>
      </c>
      <c r="I29" s="24" t="n">
        <f aca="false">IF(C29=0,"",E29/C29-1)</f>
        <v>0</v>
      </c>
    </row>
    <row r="30" customFormat="false" ht="15" hidden="false" customHeight="false" outlineLevel="0" collapsed="false">
      <c r="A30" s="20" t="s">
        <v>6</v>
      </c>
      <c r="B30" s="21" t="s">
        <v>615</v>
      </c>
      <c r="C30" s="22" t="n">
        <v>3</v>
      </c>
      <c r="D30" s="25" t="s">
        <v>508</v>
      </c>
      <c r="E30" s="22" t="n">
        <v>3</v>
      </c>
      <c r="F30" s="23" t="n">
        <f aca="false">C30*$B$6</f>
        <v>21</v>
      </c>
      <c r="G30" s="23" t="s">
        <v>508</v>
      </c>
      <c r="H30" s="23" t="n">
        <f aca="false">E30*$B$6</f>
        <v>21</v>
      </c>
      <c r="I30" s="24" t="n">
        <f aca="false">IF(C30=0,"",E30/C30-1)</f>
        <v>0</v>
      </c>
    </row>
    <row r="31" customFormat="false" ht="15" hidden="false" customHeight="false" outlineLevel="0" collapsed="false">
      <c r="A31" s="20" t="s">
        <v>6</v>
      </c>
      <c r="B31" s="21" t="s">
        <v>616</v>
      </c>
      <c r="C31" s="22" t="n">
        <v>3</v>
      </c>
      <c r="D31" s="25" t="s">
        <v>508</v>
      </c>
      <c r="E31" s="22" t="n">
        <v>3</v>
      </c>
      <c r="F31" s="23" t="n">
        <f aca="false">C31*$B$6</f>
        <v>21</v>
      </c>
      <c r="G31" s="23" t="s">
        <v>508</v>
      </c>
      <c r="H31" s="23" t="n">
        <f aca="false">E31*$B$6</f>
        <v>21</v>
      </c>
      <c r="I31" s="24" t="n">
        <f aca="false">IF(C31=0,"",E31/C31-1)</f>
        <v>0</v>
      </c>
    </row>
    <row r="32" customFormat="false" ht="15" hidden="false" customHeight="false" outlineLevel="0" collapsed="false">
      <c r="A32" s="20" t="s">
        <v>6</v>
      </c>
      <c r="B32" s="21" t="s">
        <v>617</v>
      </c>
      <c r="C32" s="22" t="n">
        <v>2</v>
      </c>
      <c r="D32" s="25" t="s">
        <v>508</v>
      </c>
      <c r="E32" s="22" t="n">
        <v>2</v>
      </c>
      <c r="F32" s="23" t="n">
        <f aca="false">C32*$B$6</f>
        <v>14</v>
      </c>
      <c r="G32" s="23" t="s">
        <v>508</v>
      </c>
      <c r="H32" s="23" t="n">
        <f aca="false">E32*$B$6</f>
        <v>14</v>
      </c>
      <c r="I32" s="24" t="n">
        <f aca="false">IF(C32=0,"",E32/C32-1)</f>
        <v>0</v>
      </c>
    </row>
    <row r="33" customFormat="false" ht="15" hidden="false" customHeight="false" outlineLevel="0" collapsed="false">
      <c r="A33" s="20" t="s">
        <v>6</v>
      </c>
      <c r="B33" s="21" t="s">
        <v>618</v>
      </c>
      <c r="C33" s="22" t="n">
        <v>0.6</v>
      </c>
      <c r="D33" s="25" t="s">
        <v>508</v>
      </c>
      <c r="E33" s="22" t="n">
        <v>0.6</v>
      </c>
      <c r="F33" s="23" t="n">
        <f aca="false">C33*$B$6</f>
        <v>4.2</v>
      </c>
      <c r="G33" s="23" t="s">
        <v>508</v>
      </c>
      <c r="H33" s="23" t="n">
        <f aca="false">E33*$B$6</f>
        <v>4.2</v>
      </c>
      <c r="I33" s="24" t="n">
        <f aca="false">IF(C33=0,"",E33/C33-1)</f>
        <v>0</v>
      </c>
    </row>
    <row r="34" customFormat="false" ht="15" hidden="false" customHeight="false" outlineLevel="0" collapsed="false">
      <c r="A34" s="26" t="s">
        <v>13</v>
      </c>
      <c r="B34" s="27" t="s">
        <v>619</v>
      </c>
      <c r="C34" s="28" t="s">
        <v>508</v>
      </c>
      <c r="D34" s="28" t="s">
        <v>508</v>
      </c>
      <c r="E34" s="28" t="s">
        <v>508</v>
      </c>
      <c r="F34" s="29" t="n">
        <v>5</v>
      </c>
      <c r="G34" s="29" t="s">
        <v>508</v>
      </c>
      <c r="H34" s="29" t="s">
        <v>508</v>
      </c>
      <c r="I34" s="30" t="s">
        <v>508</v>
      </c>
    </row>
    <row r="35" customFormat="false" ht="15" hidden="false" customHeight="false" outlineLevel="0" collapsed="false">
      <c r="A35" s="26" t="s">
        <v>13</v>
      </c>
      <c r="B35" s="27" t="s">
        <v>620</v>
      </c>
      <c r="C35" s="28" t="s">
        <v>508</v>
      </c>
      <c r="D35" s="28" t="s">
        <v>508</v>
      </c>
      <c r="E35" s="28" t="s">
        <v>508</v>
      </c>
      <c r="F35" s="29" t="n">
        <v>10</v>
      </c>
      <c r="G35" s="29" t="s">
        <v>508</v>
      </c>
      <c r="H35" s="29" t="s">
        <v>508</v>
      </c>
      <c r="I35" s="30" t="s">
        <v>508</v>
      </c>
    </row>
    <row r="36" customFormat="false" ht="15" hidden="false" customHeight="false" outlineLevel="0" collapsed="false">
      <c r="A36" s="31" t="s">
        <v>621</v>
      </c>
      <c r="B36" s="32" t="s">
        <v>622</v>
      </c>
      <c r="C36" s="33" t="s">
        <v>508</v>
      </c>
      <c r="D36" s="33" t="s">
        <v>508</v>
      </c>
      <c r="E36" s="33" t="s">
        <v>508</v>
      </c>
      <c r="F36" s="34" t="n">
        <v>0</v>
      </c>
      <c r="G36" s="34" t="n">
        <v>0</v>
      </c>
      <c r="H36" s="34" t="n">
        <v>0</v>
      </c>
      <c r="I36" s="35" t="s">
        <v>508</v>
      </c>
    </row>
    <row r="37" customFormat="false" ht="15" hidden="false" customHeight="false" outlineLevel="0" collapsed="false">
      <c r="A37" s="31" t="s">
        <v>7</v>
      </c>
      <c r="B37" s="32" t="s">
        <v>623</v>
      </c>
      <c r="C37" s="33" t="s">
        <v>508</v>
      </c>
      <c r="D37" s="33" t="s">
        <v>508</v>
      </c>
      <c r="E37" s="33" t="s">
        <v>508</v>
      </c>
      <c r="F37" s="34" t="n">
        <v>0</v>
      </c>
      <c r="G37" s="34" t="n">
        <v>0</v>
      </c>
      <c r="H37" s="34" t="n">
        <v>0</v>
      </c>
      <c r="I37" s="35" t="s">
        <v>508</v>
      </c>
    </row>
    <row r="38" customFormat="false" ht="15" hidden="false" customHeight="false" outlineLevel="0" collapsed="false">
      <c r="A38" s="31" t="s">
        <v>8</v>
      </c>
      <c r="B38" s="32" t="s">
        <v>624</v>
      </c>
      <c r="C38" s="33" t="s">
        <v>508</v>
      </c>
      <c r="D38" s="33" t="s">
        <v>508</v>
      </c>
      <c r="E38" s="33" t="s">
        <v>508</v>
      </c>
      <c r="F38" s="34" t="n">
        <v>0</v>
      </c>
      <c r="G38" s="34" t="n">
        <v>0</v>
      </c>
      <c r="H38" s="34" t="n">
        <v>0</v>
      </c>
      <c r="I38" s="35" t="s">
        <v>508</v>
      </c>
    </row>
    <row r="39" customFormat="false" ht="15" hidden="false" customHeight="false" outlineLevel="0" collapsed="false">
      <c r="A39" s="31" t="s">
        <v>9</v>
      </c>
      <c r="B39" s="32" t="s">
        <v>625</v>
      </c>
      <c r="C39" s="33" t="s">
        <v>508</v>
      </c>
      <c r="D39" s="33" t="s">
        <v>508</v>
      </c>
      <c r="E39" s="33" t="s">
        <v>508</v>
      </c>
      <c r="F39" s="34" t="n">
        <v>0</v>
      </c>
      <c r="G39" s="34" t="n">
        <v>0</v>
      </c>
      <c r="H39" s="34" t="n">
        <v>0</v>
      </c>
      <c r="I39" s="35" t="s">
        <v>508</v>
      </c>
    </row>
    <row r="40" customFormat="false" ht="15" hidden="false" customHeight="false" outlineLevel="0" collapsed="false">
      <c r="A40" s="31" t="s">
        <v>10</v>
      </c>
      <c r="B40" s="32" t="s">
        <v>626</v>
      </c>
      <c r="C40" s="33" t="s">
        <v>508</v>
      </c>
      <c r="D40" s="33" t="s">
        <v>508</v>
      </c>
      <c r="E40" s="33" t="s">
        <v>508</v>
      </c>
      <c r="F40" s="34" t="n">
        <v>0</v>
      </c>
      <c r="G40" s="34" t="n">
        <v>0</v>
      </c>
      <c r="H40" s="34" t="n">
        <v>0</v>
      </c>
      <c r="I40" s="35" t="s">
        <v>508</v>
      </c>
    </row>
    <row r="41" customFormat="false" ht="15" hidden="false" customHeight="false" outlineLevel="0" collapsed="false">
      <c r="A41" s="31" t="s">
        <v>11</v>
      </c>
      <c r="B41" s="32" t="s">
        <v>626</v>
      </c>
      <c r="C41" s="33" t="s">
        <v>508</v>
      </c>
      <c r="D41" s="33" t="s">
        <v>508</v>
      </c>
      <c r="E41" s="33" t="s">
        <v>508</v>
      </c>
      <c r="F41" s="34" t="n">
        <v>0</v>
      </c>
      <c r="G41" s="34" t="n">
        <v>0</v>
      </c>
      <c r="H41" s="34" t="n">
        <v>0</v>
      </c>
      <c r="I41" s="35" t="s">
        <v>508</v>
      </c>
    </row>
    <row r="42" customFormat="false" ht="15" hidden="false" customHeight="false" outlineLevel="0" collapsed="false">
      <c r="A42" s="31" t="s">
        <v>12</v>
      </c>
      <c r="B42" s="32" t="s">
        <v>626</v>
      </c>
      <c r="C42" s="33" t="s">
        <v>508</v>
      </c>
      <c r="D42" s="33" t="s">
        <v>508</v>
      </c>
      <c r="E42" s="33" t="s">
        <v>508</v>
      </c>
      <c r="F42" s="34" t="n">
        <v>0</v>
      </c>
      <c r="G42" s="34" t="n">
        <v>0</v>
      </c>
      <c r="H42" s="34" t="n">
        <v>0</v>
      </c>
      <c r="I42" s="35" t="s">
        <v>508</v>
      </c>
    </row>
    <row r="43" customFormat="false" ht="15" hidden="false" customHeight="false" outlineLevel="0" collapsed="false">
      <c r="A43" s="31" t="s">
        <v>14</v>
      </c>
      <c r="B43" s="32" t="s">
        <v>627</v>
      </c>
      <c r="C43" s="33" t="s">
        <v>508</v>
      </c>
      <c r="D43" s="33" t="s">
        <v>508</v>
      </c>
      <c r="E43" s="33" t="s">
        <v>508</v>
      </c>
      <c r="F43" s="34" t="n">
        <v>0</v>
      </c>
      <c r="G43" s="34" t="n">
        <v>0</v>
      </c>
      <c r="H43" s="34" t="n">
        <v>0</v>
      </c>
      <c r="I43" s="35" t="s">
        <v>508</v>
      </c>
    </row>
    <row r="45" customFormat="false" ht="15" hidden="false" customHeight="false" outlineLevel="0" collapsed="false">
      <c r="A45" s="13" t="s">
        <v>628</v>
      </c>
    </row>
    <row r="46" customFormat="false" ht="15" hidden="false" customHeight="false" outlineLevel="0" collapsed="false">
      <c r="A46" s="14" t="s">
        <v>629</v>
      </c>
    </row>
    <row r="47" customFormat="false" ht="15" hidden="false" customHeight="false" outlineLevel="0" collapsed="false">
      <c r="A47" s="14" t="s">
        <v>630</v>
      </c>
    </row>
    <row r="48" customFormat="false" ht="15" hidden="false" customHeight="false" outlineLevel="0" collapsed="false">
      <c r="A48" s="14" t="s">
        <v>631</v>
      </c>
    </row>
    <row r="49" customFormat="false" ht="15" hidden="false" customHeight="false" outlineLevel="0" collapsed="false">
      <c r="A49" s="14" t="s">
        <v>632</v>
      </c>
    </row>
    <row r="50" customFormat="false" ht="15" hidden="false" customHeight="false" outlineLevel="0" collapsed="false">
      <c r="A50" s="14" t="s">
        <v>633</v>
      </c>
    </row>
    <row r="51" customFormat="false" ht="15" hidden="false" customHeight="false" outlineLevel="0" collapsed="false">
      <c r="A51" s="13" t="s">
        <v>634</v>
      </c>
    </row>
    <row r="52" customFormat="false" ht="15" hidden="false" customHeight="false" outlineLevel="0" collapsed="false">
      <c r="A52" s="14" t="s">
        <v>635</v>
      </c>
    </row>
    <row r="53" customFormat="false" ht="15" hidden="false" customHeight="false" outlineLevel="0" collapsed="false">
      <c r="A53" s="14" t="s">
        <v>636</v>
      </c>
    </row>
    <row r="54" customFormat="false" ht="15" hidden="false" customHeight="false" outlineLevel="0" collapsed="false">
      <c r="A54" s="14" t="s">
        <v>637</v>
      </c>
    </row>
    <row r="55" customFormat="false" ht="15" hidden="false" customHeight="false" outlineLevel="0" collapsed="false">
      <c r="A55" s="14" t="s">
        <v>638</v>
      </c>
    </row>
    <row r="56" customFormat="false" ht="15" hidden="false" customHeight="false" outlineLevel="0" collapsed="false">
      <c r="A56" s="14" t="s">
        <v>639</v>
      </c>
    </row>
    <row r="57" customFormat="false" ht="15" hidden="false" customHeight="false" outlineLevel="0" collapsed="false">
      <c r="A57" s="14" t="s">
        <v>640</v>
      </c>
    </row>
    <row r="59" customFormat="false" ht="15" hidden="false" customHeight="false" outlineLevel="0" collapsed="false">
      <c r="A59" s="18" t="s">
        <v>641</v>
      </c>
    </row>
    <row r="62" customFormat="false" ht="15" hidden="false" customHeight="false" outlineLevel="0" collapsed="false">
      <c r="A62" s="13" t="s">
        <v>642</v>
      </c>
    </row>
    <row r="63" customFormat="false" ht="15" hidden="false" customHeight="false" outlineLevel="0" collapsed="false">
      <c r="A63" s="2" t="s">
        <v>643</v>
      </c>
    </row>
    <row r="64" customFormat="false" ht="15" hidden="false" customHeight="false" outlineLevel="0" collapsed="false">
      <c r="A64" s="3" t="s">
        <v>644</v>
      </c>
      <c r="B64" s="3" t="s">
        <v>645</v>
      </c>
      <c r="C64" s="3" t="s">
        <v>337</v>
      </c>
    </row>
    <row r="65" customFormat="false" ht="38.05" hidden="false" customHeight="false" outlineLevel="0" collapsed="false">
      <c r="A65" s="8" t="s">
        <v>646</v>
      </c>
      <c r="B65" s="9" t="s">
        <v>647</v>
      </c>
      <c r="C65" s="9" t="s">
        <v>648</v>
      </c>
    </row>
    <row r="66" customFormat="false" ht="76.1" hidden="false" customHeight="false" outlineLevel="0" collapsed="false">
      <c r="A66" s="8" t="s">
        <v>649</v>
      </c>
      <c r="B66" s="9" t="s">
        <v>650</v>
      </c>
      <c r="C66" s="9" t="s">
        <v>651</v>
      </c>
    </row>
    <row r="67" customFormat="false" ht="39.55" hidden="false" customHeight="false" outlineLevel="0" collapsed="false">
      <c r="A67" s="8" t="s">
        <v>652</v>
      </c>
      <c r="B67" s="9" t="s">
        <v>650</v>
      </c>
      <c r="C67" s="9" t="s">
        <v>653</v>
      </c>
    </row>
    <row r="68" customFormat="false" ht="52.2" hidden="false" customHeight="false" outlineLevel="0" collapsed="false">
      <c r="A68" s="8" t="s">
        <v>654</v>
      </c>
      <c r="B68" s="9" t="s">
        <v>655</v>
      </c>
      <c r="C68" s="9" t="s">
        <v>656</v>
      </c>
    </row>
    <row r="69" customFormat="false" ht="52.2" hidden="false" customHeight="false" outlineLevel="0" collapsed="false">
      <c r="A69" s="8" t="s">
        <v>657</v>
      </c>
      <c r="B69" s="9" t="s">
        <v>658</v>
      </c>
      <c r="C69" s="9" t="s">
        <v>659</v>
      </c>
    </row>
    <row r="70" customFormat="false" ht="77.6" hidden="false" customHeight="false" outlineLevel="0" collapsed="false">
      <c r="A70" s="8" t="s">
        <v>660</v>
      </c>
      <c r="B70" s="9" t="s">
        <v>661</v>
      </c>
      <c r="C70" s="9" t="s">
        <v>662</v>
      </c>
    </row>
    <row r="71" customFormat="false" ht="39.55" hidden="false" customHeight="false" outlineLevel="0" collapsed="false">
      <c r="A71" s="8" t="s">
        <v>663</v>
      </c>
      <c r="B71" s="9" t="s">
        <v>664</v>
      </c>
      <c r="C71" s="9" t="s">
        <v>665</v>
      </c>
    </row>
    <row r="72" customFormat="false" ht="76.1" hidden="false" customHeight="false" outlineLevel="0" collapsed="false">
      <c r="A72" s="8" t="s">
        <v>666</v>
      </c>
      <c r="B72" s="9" t="s">
        <v>667</v>
      </c>
      <c r="C72" s="10" t="s">
        <v>668</v>
      </c>
    </row>
    <row r="73" customFormat="false" ht="50.7" hidden="false" customHeight="false" outlineLevel="0" collapsed="false">
      <c r="A73" s="8" t="s">
        <v>669</v>
      </c>
      <c r="B73" s="9" t="s">
        <v>670</v>
      </c>
      <c r="C73" s="9" t="s">
        <v>671</v>
      </c>
    </row>
    <row r="74" customFormat="false" ht="88.8" hidden="false" customHeight="false" outlineLevel="0" collapsed="false">
      <c r="A74" s="8" t="s">
        <v>672</v>
      </c>
      <c r="B74" s="9" t="s">
        <v>673</v>
      </c>
      <c r="C74" s="9" t="s">
        <v>674</v>
      </c>
    </row>
    <row r="75" customFormat="false" ht="76.1" hidden="false" customHeight="false" outlineLevel="0" collapsed="false">
      <c r="A75" s="8" t="s">
        <v>675</v>
      </c>
      <c r="B75" s="9" t="s">
        <v>676</v>
      </c>
      <c r="C75" s="9" t="s">
        <v>677</v>
      </c>
    </row>
    <row r="76" customFormat="false" ht="77.6" hidden="false" customHeight="false" outlineLevel="0" collapsed="false">
      <c r="A76" s="8" t="s">
        <v>678</v>
      </c>
      <c r="B76" s="9" t="s">
        <v>679</v>
      </c>
      <c r="C76" s="9" t="s">
        <v>680</v>
      </c>
    </row>
    <row r="77" customFormat="false" ht="76.1" hidden="false" customHeight="false" outlineLevel="0" collapsed="false">
      <c r="A77" s="8" t="s">
        <v>681</v>
      </c>
      <c r="B77" s="9" t="s">
        <v>682</v>
      </c>
      <c r="C77" s="10" t="s">
        <v>683</v>
      </c>
    </row>
    <row r="78" customFormat="false" ht="50.7" hidden="false" customHeight="false" outlineLevel="0" collapsed="false">
      <c r="A78" s="8" t="s">
        <v>684</v>
      </c>
      <c r="B78" s="9" t="s">
        <v>685</v>
      </c>
      <c r="C78" s="9" t="s">
        <v>686</v>
      </c>
    </row>
    <row r="79" customFormat="false" ht="26.85" hidden="false" customHeight="false" outlineLevel="0" collapsed="false">
      <c r="A79" s="8" t="s">
        <v>687</v>
      </c>
      <c r="B79" s="9" t="s">
        <v>46</v>
      </c>
      <c r="C79" s="10" t="s">
        <v>688</v>
      </c>
    </row>
    <row r="80" customFormat="false" ht="36.55" hidden="false" customHeight="false" outlineLevel="0" collapsed="false">
      <c r="A80" s="8" t="s">
        <v>689</v>
      </c>
      <c r="B80" s="9" t="s">
        <v>46</v>
      </c>
      <c r="C80" s="10" t="s">
        <v>690</v>
      </c>
    </row>
    <row r="81" customFormat="false" ht="50.7" hidden="false" customHeight="false" outlineLevel="0" collapsed="false">
      <c r="A81" s="8" t="s">
        <v>691</v>
      </c>
      <c r="B81" s="9" t="s">
        <v>46</v>
      </c>
      <c r="C81" s="9" t="s">
        <v>692</v>
      </c>
    </row>
    <row r="82" customFormat="false" ht="64.9" hidden="false" customHeight="false" outlineLevel="0" collapsed="false">
      <c r="A82" s="8" t="s">
        <v>693</v>
      </c>
      <c r="B82" s="9" t="s">
        <v>46</v>
      </c>
      <c r="C82" s="10" t="s">
        <v>694</v>
      </c>
    </row>
    <row r="83" customFormat="false" ht="39.55" hidden="false" customHeight="false" outlineLevel="0" collapsed="false">
      <c r="A83" s="8" t="s">
        <v>695</v>
      </c>
      <c r="B83" s="9" t="s">
        <v>99</v>
      </c>
      <c r="C83" s="9" t="s">
        <v>696</v>
      </c>
    </row>
    <row r="84" customFormat="false" ht="39.55" hidden="false" customHeight="false" outlineLevel="0" collapsed="false">
      <c r="A84" s="8" t="s">
        <v>697</v>
      </c>
      <c r="B84" s="9" t="s">
        <v>101</v>
      </c>
      <c r="C84" s="9" t="s">
        <v>698</v>
      </c>
    </row>
    <row r="87" customFormat="false" ht="15" hidden="false" customHeight="false" outlineLevel="0" collapsed="false">
      <c r="A87" s="13" t="s">
        <v>699</v>
      </c>
    </row>
    <row r="88" customFormat="false" ht="15" hidden="false" customHeight="false" outlineLevel="0" collapsed="false">
      <c r="A88" s="2" t="s">
        <v>700</v>
      </c>
    </row>
    <row r="89" customFormat="false" ht="26.85" hidden="false" customHeight="false" outlineLevel="0" collapsed="false">
      <c r="A89" s="3" t="s">
        <v>592</v>
      </c>
      <c r="B89" s="3" t="s">
        <v>701</v>
      </c>
      <c r="C89" s="3" t="s">
        <v>702</v>
      </c>
      <c r="D89" s="3" t="s">
        <v>703</v>
      </c>
      <c r="E89" s="3" t="s">
        <v>704</v>
      </c>
      <c r="F89" s="3" t="s">
        <v>705</v>
      </c>
    </row>
    <row r="90" customFormat="false" ht="15" hidden="false" customHeight="false" outlineLevel="0" collapsed="false">
      <c r="A90" s="8" t="s">
        <v>706</v>
      </c>
      <c r="B90" s="36" t="s">
        <v>707</v>
      </c>
      <c r="C90" s="37" t="n">
        <v>0.05</v>
      </c>
      <c r="D90" s="37" t="n">
        <v>0.1</v>
      </c>
      <c r="E90" s="37" t="n">
        <v>0.2</v>
      </c>
      <c r="F90" s="37" t="n">
        <v>0.5</v>
      </c>
    </row>
    <row r="91" customFormat="false" ht="15" hidden="false" customHeight="false" outlineLevel="0" collapsed="false">
      <c r="A91" s="8" t="s">
        <v>708</v>
      </c>
      <c r="B91" s="38" t="n">
        <v>15</v>
      </c>
      <c r="C91" s="39" t="n">
        <f aca="false">$B91*$B$11*C$90</f>
        <v>0.75</v>
      </c>
      <c r="D91" s="39" t="n">
        <f aca="false">$B91*$B$11*D$90</f>
        <v>1.5</v>
      </c>
      <c r="E91" s="39" t="n">
        <f aca="false">$B91*$B$11*E$90</f>
        <v>3</v>
      </c>
      <c r="F91" s="39" t="n">
        <f aca="false">$B91*$B$11*F$90</f>
        <v>7.5</v>
      </c>
    </row>
    <row r="92" customFormat="false" ht="15" hidden="false" customHeight="false" outlineLevel="0" collapsed="false">
      <c r="A92" s="8" t="s">
        <v>709</v>
      </c>
      <c r="B92" s="38" t="n">
        <v>40</v>
      </c>
      <c r="C92" s="39" t="n">
        <f aca="false">$B92*$B$11*C$90</f>
        <v>2</v>
      </c>
      <c r="D92" s="39" t="n">
        <f aca="false">$B92*$B$11*D$90</f>
        <v>4</v>
      </c>
      <c r="E92" s="39" t="n">
        <f aca="false">$B92*$B$11*E$90</f>
        <v>8</v>
      </c>
      <c r="F92" s="39" t="n">
        <f aca="false">$B92*$B$11*F$90</f>
        <v>20</v>
      </c>
    </row>
    <row r="93" customFormat="false" ht="15" hidden="false" customHeight="false" outlineLevel="0" collapsed="false">
      <c r="A93" s="8" t="s">
        <v>710</v>
      </c>
      <c r="B93" s="38" t="n">
        <v>80</v>
      </c>
      <c r="C93" s="39" t="n">
        <f aca="false">$B93*$B$11*C$90</f>
        <v>4</v>
      </c>
      <c r="D93" s="39" t="n">
        <f aca="false">$B93*$B$11*D$90</f>
        <v>8</v>
      </c>
      <c r="E93" s="39" t="n">
        <f aca="false">$B93*$B$11*E$90</f>
        <v>16</v>
      </c>
      <c r="F93" s="39" t="n">
        <f aca="false">$B93*$B$11*F$90</f>
        <v>40</v>
      </c>
    </row>
    <row r="94" customFormat="false" ht="15" hidden="false" customHeight="false" outlineLevel="0" collapsed="false">
      <c r="A94" s="8" t="s">
        <v>711</v>
      </c>
      <c r="B94" s="38" t="n">
        <v>120</v>
      </c>
      <c r="C94" s="39" t="n">
        <f aca="false">$B94*$B$11*C$90</f>
        <v>6</v>
      </c>
      <c r="D94" s="39" t="n">
        <f aca="false">$B94*$B$11*D$90</f>
        <v>12</v>
      </c>
      <c r="E94" s="39" t="n">
        <f aca="false">$B94*$B$11*E$90</f>
        <v>24</v>
      </c>
      <c r="F94" s="39" t="n">
        <f aca="false">$B94*$B$11*F$90</f>
        <v>60</v>
      </c>
    </row>
    <row r="96" customFormat="false" ht="15" hidden="false" customHeight="false" outlineLevel="0" collapsed="false">
      <c r="A96" s="14" t="s">
        <v>712</v>
      </c>
    </row>
    <row r="97" customFormat="false" ht="15" hidden="false" customHeight="false" outlineLevel="0" collapsed="false">
      <c r="A97" s="14" t="s">
        <v>713</v>
      </c>
    </row>
    <row r="98" customFormat="false" ht="15" hidden="false" customHeight="false" outlineLevel="0" collapsed="false">
      <c r="A98" s="40" t="s">
        <v>714</v>
      </c>
    </row>
    <row r="101" customFormat="false" ht="15" hidden="false" customHeight="false" outlineLevel="0" collapsed="false">
      <c r="A101" s="13" t="s">
        <v>715</v>
      </c>
    </row>
    <row r="102" customFormat="false" ht="15" hidden="false" customHeight="false" outlineLevel="0" collapsed="false">
      <c r="A102" s="2" t="s">
        <v>716</v>
      </c>
    </row>
    <row r="103" customFormat="false" ht="26.85" hidden="false" customHeight="false" outlineLevel="0" collapsed="false">
      <c r="A103" s="3" t="s">
        <v>591</v>
      </c>
      <c r="B103" s="3" t="s">
        <v>717</v>
      </c>
      <c r="C103" s="3" t="s">
        <v>718</v>
      </c>
      <c r="D103" s="3" t="s">
        <v>386</v>
      </c>
      <c r="E103" s="3" t="s">
        <v>719</v>
      </c>
    </row>
    <row r="104" customFormat="false" ht="64.9" hidden="false" customHeight="false" outlineLevel="0" collapsed="false">
      <c r="A104" s="8" t="s">
        <v>12</v>
      </c>
      <c r="B104" s="10" t="s">
        <v>720</v>
      </c>
      <c r="C104" s="9" t="s">
        <v>721</v>
      </c>
      <c r="D104" s="9" t="s">
        <v>722</v>
      </c>
      <c r="E104" s="9" t="s">
        <v>723</v>
      </c>
    </row>
    <row r="105" customFormat="false" ht="102.95" hidden="false" customHeight="false" outlineLevel="0" collapsed="false">
      <c r="A105" s="8" t="s">
        <v>621</v>
      </c>
      <c r="B105" s="10" t="s">
        <v>724</v>
      </c>
      <c r="C105" s="9" t="s">
        <v>725</v>
      </c>
      <c r="D105" s="10" t="s">
        <v>726</v>
      </c>
      <c r="E105" s="9" t="s">
        <v>727</v>
      </c>
    </row>
    <row r="106" customFormat="false" ht="39.55" hidden="false" customHeight="false" outlineLevel="0" collapsed="false">
      <c r="A106" s="8" t="s">
        <v>728</v>
      </c>
      <c r="B106" s="10" t="s">
        <v>720</v>
      </c>
      <c r="C106" s="9" t="s">
        <v>729</v>
      </c>
      <c r="D106" s="9" t="s">
        <v>46</v>
      </c>
      <c r="E106" s="9" t="s">
        <v>99</v>
      </c>
    </row>
    <row r="108" customFormat="false" ht="15" hidden="false" customHeight="false" outlineLevel="0" collapsed="false">
      <c r="A108" s="14" t="s">
        <v>730</v>
      </c>
    </row>
    <row r="109" customFormat="false" ht="15" hidden="false" customHeight="false" outlineLevel="0" collapsed="false">
      <c r="A109" s="14" t="s">
        <v>731</v>
      </c>
    </row>
    <row r="112" customFormat="false" ht="15" hidden="false" customHeight="false" outlineLevel="0" collapsed="false">
      <c r="A112" s="13" t="s">
        <v>732</v>
      </c>
    </row>
    <row r="113" customFormat="false" ht="15" hidden="false" customHeight="false" outlineLevel="0" collapsed="false">
      <c r="A113" s="2" t="s">
        <v>733</v>
      </c>
    </row>
    <row r="114" customFormat="false" ht="15" hidden="false" customHeight="false" outlineLevel="0" collapsed="false">
      <c r="A114" s="3" t="s">
        <v>591</v>
      </c>
      <c r="B114" s="3" t="s">
        <v>734</v>
      </c>
      <c r="C114" s="3" t="s">
        <v>735</v>
      </c>
    </row>
    <row r="115" customFormat="false" ht="26.85" hidden="false" customHeight="false" outlineLevel="0" collapsed="false">
      <c r="A115" s="8" t="s">
        <v>13</v>
      </c>
      <c r="B115" s="9" t="s">
        <v>736</v>
      </c>
      <c r="C115" s="9" t="s">
        <v>737</v>
      </c>
    </row>
    <row r="116" customFormat="false" ht="26.85" hidden="false" customHeight="false" outlineLevel="0" collapsed="false">
      <c r="A116" s="8" t="s">
        <v>11</v>
      </c>
      <c r="B116" s="9" t="s">
        <v>738</v>
      </c>
      <c r="C116" s="10" t="s">
        <v>739</v>
      </c>
    </row>
    <row r="117" customFormat="false" ht="39.55" hidden="false" customHeight="false" outlineLevel="0" collapsed="false">
      <c r="A117" s="8" t="s">
        <v>11</v>
      </c>
      <c r="B117" s="9" t="s">
        <v>740</v>
      </c>
      <c r="C117" s="10" t="s">
        <v>741</v>
      </c>
    </row>
    <row r="118" customFormat="false" ht="26.85" hidden="false" customHeight="false" outlineLevel="0" collapsed="false">
      <c r="A118" s="8" t="s">
        <v>621</v>
      </c>
      <c r="B118" s="9" t="s">
        <v>742</v>
      </c>
      <c r="C118" s="10" t="s">
        <v>743</v>
      </c>
    </row>
    <row r="119" customFormat="false" ht="26.85" hidden="false" customHeight="false" outlineLevel="0" collapsed="false">
      <c r="A119" s="8" t="s">
        <v>7</v>
      </c>
      <c r="B119" s="10" t="s">
        <v>744</v>
      </c>
      <c r="C119" s="10" t="s">
        <v>745</v>
      </c>
    </row>
    <row r="120" customFormat="false" ht="26.85" hidden="false" customHeight="false" outlineLevel="0" collapsed="false">
      <c r="A120" s="8" t="s">
        <v>7</v>
      </c>
      <c r="B120" s="9" t="s">
        <v>746</v>
      </c>
      <c r="C120" s="9" t="s">
        <v>747</v>
      </c>
    </row>
    <row r="121" customFormat="false" ht="25.35" hidden="false" customHeight="false" outlineLevel="0" collapsed="false">
      <c r="A121" s="8" t="s">
        <v>6</v>
      </c>
      <c r="B121" s="9" t="s">
        <v>748</v>
      </c>
      <c r="C121" s="9" t="s">
        <v>749</v>
      </c>
    </row>
    <row r="122" customFormat="false" ht="15" hidden="false" customHeight="false" outlineLevel="0" collapsed="false">
      <c r="A122" s="8" t="s">
        <v>4</v>
      </c>
      <c r="B122" s="9" t="s">
        <v>750</v>
      </c>
      <c r="C122" s="9" t="s">
        <v>749</v>
      </c>
    </row>
    <row r="123" customFormat="false" ht="26.85" hidden="false" customHeight="false" outlineLevel="0" collapsed="false">
      <c r="A123" s="8" t="s">
        <v>4</v>
      </c>
      <c r="B123" s="9" t="s">
        <v>751</v>
      </c>
      <c r="C123" s="10" t="s">
        <v>752</v>
      </c>
    </row>
    <row r="126" customFormat="false" ht="15" hidden="false" customHeight="false" outlineLevel="0" collapsed="false">
      <c r="A126" s="13" t="s">
        <v>753</v>
      </c>
    </row>
    <row r="127" customFormat="false" ht="15" hidden="false" customHeight="false" outlineLevel="0" collapsed="false">
      <c r="A127" s="2" t="s">
        <v>754</v>
      </c>
    </row>
    <row r="128" customFormat="false" ht="15" hidden="false" customHeight="false" outlineLevel="0" collapsed="false">
      <c r="A128" s="3" t="s">
        <v>591</v>
      </c>
      <c r="B128" s="3" t="s">
        <v>755</v>
      </c>
      <c r="C128" s="3" t="s">
        <v>756</v>
      </c>
    </row>
    <row r="129" customFormat="false" ht="112.65" hidden="false" customHeight="false" outlineLevel="0" collapsed="false">
      <c r="A129" s="4" t="s">
        <v>18</v>
      </c>
      <c r="B129" s="5" t="s">
        <v>757</v>
      </c>
      <c r="C129" s="6" t="s">
        <v>758</v>
      </c>
    </row>
    <row r="130" customFormat="false" ht="90.25" hidden="false" customHeight="false" outlineLevel="0" collapsed="false">
      <c r="A130" s="8" t="s">
        <v>621</v>
      </c>
      <c r="B130" s="9" t="s">
        <v>759</v>
      </c>
      <c r="C130" s="9" t="s">
        <v>760</v>
      </c>
    </row>
    <row r="131" customFormat="false" ht="90.25" hidden="false" customHeight="false" outlineLevel="0" collapsed="false">
      <c r="A131" s="8" t="s">
        <v>12</v>
      </c>
      <c r="B131" s="9" t="s">
        <v>759</v>
      </c>
      <c r="C131" s="9" t="s">
        <v>761</v>
      </c>
    </row>
    <row r="132" customFormat="false" ht="115.65" hidden="false" customHeight="false" outlineLevel="0" collapsed="false">
      <c r="A132" s="8" t="s">
        <v>9</v>
      </c>
      <c r="B132" s="9" t="s">
        <v>759</v>
      </c>
      <c r="C132" s="9" t="s">
        <v>762</v>
      </c>
    </row>
    <row r="133" customFormat="false" ht="102.95" hidden="false" customHeight="false" outlineLevel="0" collapsed="false">
      <c r="A133" s="8" t="s">
        <v>11</v>
      </c>
      <c r="B133" s="9" t="s">
        <v>759</v>
      </c>
      <c r="C133" s="9" t="s">
        <v>763</v>
      </c>
    </row>
    <row r="134" customFormat="false" ht="52.2" hidden="false" customHeight="false" outlineLevel="0" collapsed="false">
      <c r="A134" s="8" t="s">
        <v>6</v>
      </c>
      <c r="B134" s="9" t="s">
        <v>759</v>
      </c>
      <c r="C134" s="9" t="s">
        <v>764</v>
      </c>
    </row>
    <row r="135" customFormat="false" ht="64.9" hidden="false" customHeight="false" outlineLevel="0" collapsed="false">
      <c r="A135" s="8" t="s">
        <v>15</v>
      </c>
      <c r="B135" s="9" t="s">
        <v>759</v>
      </c>
      <c r="C135" s="9" t="s">
        <v>765</v>
      </c>
    </row>
    <row r="136" customFormat="false" ht="102.95" hidden="false" customHeight="false" outlineLevel="0" collapsed="false">
      <c r="A136" s="8" t="s">
        <v>4</v>
      </c>
      <c r="B136" s="9" t="s">
        <v>766</v>
      </c>
      <c r="C136" s="9" t="s">
        <v>767</v>
      </c>
    </row>
    <row r="137" customFormat="false" ht="64.9" hidden="false" customHeight="false" outlineLevel="0" collapsed="false">
      <c r="A137" s="8" t="s">
        <v>17</v>
      </c>
      <c r="B137" s="9" t="s">
        <v>768</v>
      </c>
      <c r="C137" s="9" t="s">
        <v>769</v>
      </c>
    </row>
    <row r="138" customFormat="false" ht="64.9" hidden="false" customHeight="false" outlineLevel="0" collapsed="false">
      <c r="A138" s="8" t="s">
        <v>13</v>
      </c>
      <c r="B138" s="9" t="s">
        <v>770</v>
      </c>
      <c r="C138" s="9" t="s">
        <v>771</v>
      </c>
    </row>
    <row r="141" customFormat="false" ht="15" hidden="false" customHeight="false" outlineLevel="0" collapsed="false">
      <c r="A141" s="13" t="s">
        <v>772</v>
      </c>
    </row>
    <row r="142" customFormat="false" ht="15" hidden="false" customHeight="false" outlineLevel="0" collapsed="false">
      <c r="A142" s="2" t="s">
        <v>773</v>
      </c>
    </row>
    <row r="143" customFormat="false" ht="15" hidden="false" customHeight="false" outlineLevel="0" collapsed="false">
      <c r="A143" s="3" t="s">
        <v>591</v>
      </c>
      <c r="B143" s="3" t="s">
        <v>774</v>
      </c>
      <c r="C143" s="3" t="s">
        <v>775</v>
      </c>
    </row>
    <row r="144" customFormat="false" ht="90.25" hidden="false" customHeight="false" outlineLevel="0" collapsed="false">
      <c r="A144" s="41" t="s">
        <v>4</v>
      </c>
      <c r="B144" s="17" t="s">
        <v>776</v>
      </c>
      <c r="C144" s="17" t="s">
        <v>777</v>
      </c>
    </row>
    <row r="145" customFormat="false" ht="128.35" hidden="false" customHeight="false" outlineLevel="0" collapsed="false">
      <c r="A145" s="41" t="s">
        <v>20</v>
      </c>
      <c r="B145" s="17" t="s">
        <v>776</v>
      </c>
      <c r="C145" s="17" t="s">
        <v>778</v>
      </c>
    </row>
    <row r="146" customFormat="false" ht="77.6" hidden="false" customHeight="false" outlineLevel="0" collapsed="false">
      <c r="A146" s="8" t="s">
        <v>9</v>
      </c>
      <c r="B146" s="9" t="s">
        <v>779</v>
      </c>
      <c r="C146" s="10" t="s">
        <v>780</v>
      </c>
    </row>
    <row r="147" customFormat="false" ht="77.6" hidden="false" customHeight="false" outlineLevel="0" collapsed="false">
      <c r="A147" s="8" t="s">
        <v>15</v>
      </c>
      <c r="B147" s="9" t="s">
        <v>781</v>
      </c>
      <c r="C147" s="9" t="s">
        <v>782</v>
      </c>
    </row>
    <row r="148" customFormat="false" ht="77.6" hidden="false" customHeight="false" outlineLevel="0" collapsed="false">
      <c r="A148" s="8" t="s">
        <v>11</v>
      </c>
      <c r="B148" s="9" t="s">
        <v>783</v>
      </c>
      <c r="C148" s="9" t="s">
        <v>784</v>
      </c>
    </row>
    <row r="149" customFormat="false" ht="64.9" hidden="false" customHeight="false" outlineLevel="0" collapsed="false">
      <c r="A149" s="8" t="s">
        <v>16</v>
      </c>
      <c r="B149" s="9" t="s">
        <v>85</v>
      </c>
      <c r="C149" s="9" t="s">
        <v>785</v>
      </c>
    </row>
    <row r="150" customFormat="false" ht="102.95" hidden="false" customHeight="false" outlineLevel="0" collapsed="false">
      <c r="A150" s="8" t="s">
        <v>786</v>
      </c>
      <c r="B150" s="9" t="s">
        <v>100</v>
      </c>
      <c r="C150" s="9" t="s">
        <v>787</v>
      </c>
    </row>
    <row r="153" customFormat="false" ht="15" hidden="false" customHeight="false" outlineLevel="0" collapsed="false">
      <c r="A153" s="13" t="s">
        <v>788</v>
      </c>
    </row>
    <row r="154" customFormat="false" ht="15" hidden="false" customHeight="false" outlineLevel="0" collapsed="false">
      <c r="A154" s="2" t="s">
        <v>789</v>
      </c>
    </row>
    <row r="155" customFormat="false" ht="15" hidden="false" customHeight="false" outlineLevel="0" collapsed="false">
      <c r="A155" s="3" t="s">
        <v>591</v>
      </c>
      <c r="B155" s="3" t="s">
        <v>301</v>
      </c>
      <c r="C155" s="3" t="s">
        <v>496</v>
      </c>
      <c r="D155" s="3" t="s">
        <v>790</v>
      </c>
      <c r="E155" s="3" t="s">
        <v>791</v>
      </c>
    </row>
    <row r="156" customFormat="false" ht="88.8" hidden="false" customHeight="false" outlineLevel="0" collapsed="false">
      <c r="A156" s="8" t="s">
        <v>792</v>
      </c>
      <c r="B156" s="10" t="s">
        <v>720</v>
      </c>
      <c r="C156" s="10" t="s">
        <v>793</v>
      </c>
      <c r="D156" s="10" t="s">
        <v>794</v>
      </c>
      <c r="E156" s="9" t="s">
        <v>795</v>
      </c>
    </row>
    <row r="157" customFormat="false" ht="76.1" hidden="false" customHeight="false" outlineLevel="0" collapsed="false">
      <c r="A157" s="8" t="s">
        <v>11</v>
      </c>
      <c r="B157" s="9" t="s">
        <v>796</v>
      </c>
      <c r="C157" s="9" t="s">
        <v>797</v>
      </c>
      <c r="D157" s="10" t="s">
        <v>798</v>
      </c>
      <c r="E157" s="9" t="s">
        <v>799</v>
      </c>
    </row>
    <row r="158" customFormat="false" ht="64.9" hidden="false" customHeight="false" outlineLevel="0" collapsed="false">
      <c r="A158" s="8" t="s">
        <v>16</v>
      </c>
      <c r="B158" s="10" t="s">
        <v>800</v>
      </c>
      <c r="C158" s="9" t="s">
        <v>801</v>
      </c>
      <c r="D158" s="10" t="s">
        <v>802</v>
      </c>
      <c r="E158" s="9" t="s">
        <v>803</v>
      </c>
    </row>
    <row r="159" customFormat="false" ht="52.2" hidden="false" customHeight="false" outlineLevel="0" collapsed="false">
      <c r="A159" s="8" t="s">
        <v>15</v>
      </c>
      <c r="B159" s="9" t="s">
        <v>804</v>
      </c>
      <c r="C159" s="9" t="s">
        <v>805</v>
      </c>
      <c r="D159" s="9" t="s">
        <v>806</v>
      </c>
      <c r="E159" s="9" t="s">
        <v>807</v>
      </c>
    </row>
    <row r="160" customFormat="false" ht="50.7" hidden="false" customHeight="false" outlineLevel="0" collapsed="false">
      <c r="A160" s="8" t="s">
        <v>621</v>
      </c>
      <c r="B160" s="9" t="s">
        <v>808</v>
      </c>
      <c r="C160" s="10" t="s">
        <v>809</v>
      </c>
      <c r="D160" s="10" t="s">
        <v>810</v>
      </c>
      <c r="E160" s="9" t="s">
        <v>811</v>
      </c>
    </row>
    <row r="161" customFormat="false" ht="52.2" hidden="false" customHeight="false" outlineLevel="0" collapsed="false">
      <c r="A161" s="8" t="s">
        <v>4</v>
      </c>
      <c r="B161" s="9" t="s">
        <v>812</v>
      </c>
      <c r="C161" s="9" t="s">
        <v>813</v>
      </c>
      <c r="D161" s="10" t="s">
        <v>814</v>
      </c>
      <c r="E161" s="9" t="s">
        <v>815</v>
      </c>
    </row>
    <row r="162" customFormat="false" ht="64.9" hidden="false" customHeight="false" outlineLevel="0" collapsed="false">
      <c r="A162" s="8" t="s">
        <v>22</v>
      </c>
      <c r="B162" s="9" t="s">
        <v>816</v>
      </c>
      <c r="C162" s="9" t="s">
        <v>817</v>
      </c>
      <c r="D162" s="10" t="s">
        <v>802</v>
      </c>
      <c r="E162" s="9" t="s">
        <v>818</v>
      </c>
    </row>
    <row r="164" customFormat="false" ht="15" hidden="false" customHeight="false" outlineLevel="0" collapsed="false">
      <c r="A164" s="14" t="s">
        <v>819</v>
      </c>
    </row>
    <row r="165" customFormat="false" ht="15" hidden="false" customHeight="false" outlineLevel="0" collapsed="false">
      <c r="A165" s="40" t="s">
        <v>820</v>
      </c>
    </row>
    <row r="166" customFormat="false" ht="15" hidden="false" customHeight="false" outlineLevel="0" collapsed="false">
      <c r="A166" s="2" t="s">
        <v>821</v>
      </c>
    </row>
    <row r="167" customFormat="false" ht="15" hidden="false" customHeight="false" outlineLevel="0" collapsed="false">
      <c r="A167" s="2" t="s">
        <v>822</v>
      </c>
    </row>
    <row r="168" customFormat="false" ht="15" hidden="false" customHeight="false" outlineLevel="0" collapsed="false">
      <c r="A168" s="2" t="s">
        <v>823</v>
      </c>
    </row>
    <row r="170" customFormat="false" ht="39.55" hidden="false" customHeight="false" outlineLevel="0" collapsed="false">
      <c r="A170" s="3" t="s">
        <v>300</v>
      </c>
      <c r="B170" s="3" t="s">
        <v>717</v>
      </c>
      <c r="C170" s="3" t="s">
        <v>824</v>
      </c>
      <c r="D170" s="3" t="s">
        <v>825</v>
      </c>
      <c r="E170" s="3" t="s">
        <v>826</v>
      </c>
    </row>
    <row r="171" customFormat="false" ht="15" hidden="false" customHeight="false" outlineLevel="0" collapsed="false">
      <c r="B171" s="42" t="s">
        <v>827</v>
      </c>
      <c r="C171" s="43" t="n">
        <v>100000</v>
      </c>
      <c r="D171" s="44" t="n">
        <v>0.64</v>
      </c>
      <c r="E171" s="45" t="n">
        <v>900000</v>
      </c>
    </row>
    <row r="172" customFormat="false" ht="15" hidden="false" customHeight="false" outlineLevel="0" collapsed="false">
      <c r="A172" s="8" t="s">
        <v>828</v>
      </c>
      <c r="B172" s="46" t="n">
        <v>0.1</v>
      </c>
      <c r="C172" s="47" t="n">
        <f aca="false">$C$171*B172</f>
        <v>10000</v>
      </c>
      <c r="D172" s="48" t="n">
        <f aca="false">C172*$D$171</f>
        <v>6400</v>
      </c>
      <c r="E172" s="49" t="n">
        <f aca="false">D172/$E$171</f>
        <v>0.00711111111111111</v>
      </c>
    </row>
    <row r="173" customFormat="false" ht="15" hidden="false" customHeight="false" outlineLevel="0" collapsed="false">
      <c r="A173" s="15" t="s">
        <v>829</v>
      </c>
      <c r="B173" s="46" t="n">
        <v>0.3</v>
      </c>
      <c r="C173" s="47" t="n">
        <f aca="false">$C$171*B173</f>
        <v>30000</v>
      </c>
      <c r="D173" s="48" t="n">
        <f aca="false">C173*$D$171</f>
        <v>19200</v>
      </c>
      <c r="E173" s="49" t="n">
        <f aca="false">D173/$E$171</f>
        <v>0.0213333333333333</v>
      </c>
    </row>
    <row r="174" customFormat="false" ht="25.35" hidden="false" customHeight="false" outlineLevel="0" collapsed="false">
      <c r="A174" s="15" t="s">
        <v>830</v>
      </c>
      <c r="B174" s="46" t="n">
        <v>0.4</v>
      </c>
      <c r="C174" s="47" t="n">
        <f aca="false">$C$171*B174</f>
        <v>40000</v>
      </c>
      <c r="D174" s="48" t="n">
        <f aca="false">C174*$D$171</f>
        <v>25600</v>
      </c>
      <c r="E174" s="49" t="n">
        <f aca="false">D174/$E$171</f>
        <v>0.0284444444444444</v>
      </c>
    </row>
    <row r="175" customFormat="false" ht="25.35" hidden="false" customHeight="false" outlineLevel="0" collapsed="false">
      <c r="A175" s="15" t="s">
        <v>831</v>
      </c>
      <c r="B175" s="46" t="n">
        <v>0.45</v>
      </c>
      <c r="C175" s="47" t="n">
        <f aca="false">$C$171*B175</f>
        <v>45000</v>
      </c>
      <c r="D175" s="48" t="n">
        <f aca="false">C175*$D$171</f>
        <v>28800</v>
      </c>
      <c r="E175" s="49" t="n">
        <f aca="false">D175/$E$171</f>
        <v>0.032</v>
      </c>
    </row>
    <row r="176" customFormat="false" ht="25.35" hidden="false" customHeight="false" outlineLevel="0" collapsed="false">
      <c r="A176" s="15" t="s">
        <v>832</v>
      </c>
      <c r="B176" s="46" t="n">
        <v>0.5</v>
      </c>
      <c r="C176" s="47" t="n">
        <f aca="false">$C$171*B176</f>
        <v>50000</v>
      </c>
      <c r="D176" s="48" t="n">
        <f aca="false">C176*$D$171</f>
        <v>32000</v>
      </c>
      <c r="E176" s="49" t="n">
        <f aca="false">D176/$E$171</f>
        <v>0.0355555555555556</v>
      </c>
    </row>
    <row r="178" customFormat="false" ht="15" hidden="false" customHeight="false" outlineLevel="0" collapsed="false">
      <c r="A178" s="14" t="s">
        <v>833</v>
      </c>
    </row>
    <row r="179" customFormat="false" ht="15" hidden="false" customHeight="false" outlineLevel="0" collapsed="false">
      <c r="A179" s="14" t="s">
        <v>834</v>
      </c>
    </row>
    <row r="180" customFormat="false" ht="15" hidden="false" customHeight="false" outlineLevel="0" collapsed="false">
      <c r="A180" s="50" t="s">
        <v>835</v>
      </c>
    </row>
    <row r="181" customFormat="false" ht="15" hidden="false" customHeight="false" outlineLevel="0" collapsed="false">
      <c r="A181" s="14" t="s">
        <v>836</v>
      </c>
    </row>
    <row r="184" customFormat="false" ht="15" hidden="false" customHeight="false" outlineLevel="0" collapsed="false">
      <c r="A184" s="13" t="s">
        <v>837</v>
      </c>
    </row>
    <row r="185" customFormat="false" ht="15" hidden="false" customHeight="false" outlineLevel="0" collapsed="false">
      <c r="A185" s="2" t="s">
        <v>838</v>
      </c>
    </row>
    <row r="186" customFormat="false" ht="15" hidden="false" customHeight="false" outlineLevel="0" collapsed="false">
      <c r="A186" s="3" t="s">
        <v>591</v>
      </c>
      <c r="B186" s="3" t="s">
        <v>371</v>
      </c>
      <c r="C186" s="3" t="s">
        <v>839</v>
      </c>
    </row>
    <row r="187" customFormat="false" ht="77.6" hidden="false" customHeight="false" outlineLevel="0" collapsed="false">
      <c r="A187" s="41" t="s">
        <v>621</v>
      </c>
      <c r="B187" s="17" t="s">
        <v>451</v>
      </c>
      <c r="C187" s="17" t="s">
        <v>840</v>
      </c>
    </row>
    <row r="188" customFormat="false" ht="39.55" hidden="false" customHeight="false" outlineLevel="0" collapsed="false">
      <c r="A188" s="41" t="s">
        <v>12</v>
      </c>
      <c r="B188" s="17" t="s">
        <v>451</v>
      </c>
      <c r="C188" s="17" t="s">
        <v>841</v>
      </c>
    </row>
    <row r="189" customFormat="false" ht="102.95" hidden="false" customHeight="false" outlineLevel="0" collapsed="false">
      <c r="A189" s="41" t="s">
        <v>14</v>
      </c>
      <c r="B189" s="17" t="s">
        <v>842</v>
      </c>
      <c r="C189" s="17" t="s">
        <v>843</v>
      </c>
    </row>
    <row r="190" customFormat="false" ht="153.7" hidden="false" customHeight="false" outlineLevel="0" collapsed="false">
      <c r="A190" s="41" t="s">
        <v>22</v>
      </c>
      <c r="B190" s="17" t="s">
        <v>842</v>
      </c>
      <c r="C190" s="17" t="s">
        <v>844</v>
      </c>
    </row>
    <row r="191" customFormat="false" ht="153.7" hidden="false" customHeight="false" outlineLevel="0" collapsed="false">
      <c r="A191" s="41" t="s">
        <v>9</v>
      </c>
      <c r="B191" s="17" t="s">
        <v>845</v>
      </c>
      <c r="C191" s="17" t="s">
        <v>846</v>
      </c>
    </row>
    <row r="192" customFormat="false" ht="88.8" hidden="false" customHeight="false" outlineLevel="0" collapsed="false">
      <c r="A192" s="8" t="s">
        <v>15</v>
      </c>
      <c r="B192" s="9" t="s">
        <v>372</v>
      </c>
      <c r="C192" s="9" t="s">
        <v>847</v>
      </c>
    </row>
    <row r="193" customFormat="false" ht="64.9" hidden="false" customHeight="false" outlineLevel="0" collapsed="false">
      <c r="A193" s="8" t="s">
        <v>4</v>
      </c>
      <c r="B193" s="9" t="s">
        <v>372</v>
      </c>
      <c r="C193" s="9" t="s">
        <v>848</v>
      </c>
    </row>
    <row r="194" customFormat="false" ht="39.55" hidden="false" customHeight="false" outlineLevel="0" collapsed="false">
      <c r="A194" s="8" t="s">
        <v>6</v>
      </c>
      <c r="B194" s="9" t="s">
        <v>372</v>
      </c>
      <c r="C194" s="9" t="s">
        <v>849</v>
      </c>
    </row>
    <row r="195" customFormat="false" ht="64.9" hidden="false" customHeight="false" outlineLevel="0" collapsed="false">
      <c r="A195" s="8" t="s">
        <v>11</v>
      </c>
      <c r="B195" s="9" t="s">
        <v>850</v>
      </c>
      <c r="C195" s="9" t="s">
        <v>851</v>
      </c>
    </row>
    <row r="196" customFormat="false" ht="115.65" hidden="false" customHeight="false" outlineLevel="0" collapsed="false">
      <c r="A196" s="8" t="s">
        <v>792</v>
      </c>
      <c r="B196" s="9" t="s">
        <v>372</v>
      </c>
      <c r="C196" s="9" t="s">
        <v>852</v>
      </c>
    </row>
    <row r="197" customFormat="false" ht="26.85" hidden="false" customHeight="false" outlineLevel="0" collapsed="false">
      <c r="A197" s="8" t="s">
        <v>8</v>
      </c>
      <c r="B197" s="9" t="s">
        <v>853</v>
      </c>
      <c r="C197" s="9" t="s">
        <v>854</v>
      </c>
    </row>
    <row r="198" customFormat="false" ht="26.85" hidden="false" customHeight="false" outlineLevel="0" collapsed="false">
      <c r="A198" s="8" t="s">
        <v>10</v>
      </c>
      <c r="B198" s="9" t="s">
        <v>46</v>
      </c>
      <c r="C198" s="10" t="s">
        <v>855</v>
      </c>
    </row>
    <row r="199" customFormat="false" ht="52.2" hidden="false" customHeight="false" outlineLevel="0" collapsed="false">
      <c r="A199" s="8" t="s">
        <v>7</v>
      </c>
      <c r="B199" s="9" t="s">
        <v>46</v>
      </c>
      <c r="C199" s="9" t="s">
        <v>856</v>
      </c>
    </row>
    <row r="200" customFormat="false" ht="26.85" hidden="false" customHeight="false" outlineLevel="0" collapsed="false">
      <c r="A200" s="8" t="s">
        <v>13</v>
      </c>
      <c r="B200" s="9" t="s">
        <v>46</v>
      </c>
      <c r="C200" s="9" t="s">
        <v>857</v>
      </c>
    </row>
    <row r="203" customFormat="false" ht="15" hidden="false" customHeight="false" outlineLevel="0" collapsed="false">
      <c r="A203" s="13" t="s">
        <v>858</v>
      </c>
    </row>
    <row r="204" customFormat="false" ht="15" hidden="false" customHeight="false" outlineLevel="0" collapsed="false">
      <c r="A204" s="2" t="s">
        <v>859</v>
      </c>
    </row>
    <row r="205" customFormat="false" ht="15" hidden="false" customHeight="false" outlineLevel="0" collapsed="false">
      <c r="A205" s="3" t="s">
        <v>860</v>
      </c>
      <c r="B205" s="3" t="s">
        <v>861</v>
      </c>
      <c r="C205" s="3" t="s">
        <v>862</v>
      </c>
      <c r="D205" s="3" t="s">
        <v>863</v>
      </c>
      <c r="E205" s="3" t="s">
        <v>864</v>
      </c>
      <c r="F205" s="3" t="s">
        <v>865</v>
      </c>
      <c r="G205" s="3" t="s">
        <v>866</v>
      </c>
      <c r="H205" s="3" t="s">
        <v>867</v>
      </c>
    </row>
    <row r="206" customFormat="false" ht="15" hidden="false" customHeight="false" outlineLevel="0" collapsed="false">
      <c r="A206" s="15" t="s">
        <v>868</v>
      </c>
      <c r="B206" s="51" t="n">
        <v>250</v>
      </c>
      <c r="C206" s="51" t="n">
        <v>0</v>
      </c>
      <c r="D206" s="51" t="n">
        <v>250</v>
      </c>
      <c r="E206" s="51" t="n">
        <v>3000</v>
      </c>
      <c r="F206" s="51" t="n">
        <v>2760</v>
      </c>
      <c r="G206" s="52" t="n">
        <f aca="false">F206/B206</f>
        <v>11.04</v>
      </c>
      <c r="H206" s="52" t="n">
        <f aca="false">F206/D206</f>
        <v>11.04</v>
      </c>
    </row>
    <row r="207" customFormat="false" ht="15" hidden="false" customHeight="false" outlineLevel="0" collapsed="false">
      <c r="A207" s="15" t="s">
        <v>869</v>
      </c>
      <c r="B207" s="51" t="n">
        <v>500</v>
      </c>
      <c r="C207" s="51" t="n">
        <v>50</v>
      </c>
      <c r="D207" s="51" t="n">
        <v>550</v>
      </c>
      <c r="E207" s="51" t="n">
        <v>6600</v>
      </c>
      <c r="F207" s="51" t="n">
        <v>5520</v>
      </c>
      <c r="G207" s="52" t="n">
        <f aca="false">F207/B207</f>
        <v>11.04</v>
      </c>
      <c r="H207" s="52" t="n">
        <f aca="false">F207/D207</f>
        <v>10.0363636363636</v>
      </c>
    </row>
    <row r="208" customFormat="false" ht="15" hidden="false" customHeight="false" outlineLevel="0" collapsed="false">
      <c r="A208" s="15" t="s">
        <v>870</v>
      </c>
      <c r="B208" s="51" t="n">
        <v>1000</v>
      </c>
      <c r="C208" s="51" t="n">
        <v>100</v>
      </c>
      <c r="D208" s="51" t="n">
        <v>1100</v>
      </c>
      <c r="E208" s="51" t="n">
        <v>13200</v>
      </c>
      <c r="F208" s="51" t="n">
        <v>11040</v>
      </c>
      <c r="G208" s="52" t="n">
        <f aca="false">F208/B208</f>
        <v>11.04</v>
      </c>
      <c r="H208" s="52" t="n">
        <f aca="false">F208/D208</f>
        <v>10.0363636363636</v>
      </c>
    </row>
    <row r="209" customFormat="false" ht="15" hidden="false" customHeight="false" outlineLevel="0" collapsed="false">
      <c r="A209" s="15" t="s">
        <v>871</v>
      </c>
      <c r="B209" s="51" t="n">
        <v>2500</v>
      </c>
      <c r="C209" s="51" t="n">
        <v>300</v>
      </c>
      <c r="D209" s="51" t="n">
        <v>2800</v>
      </c>
      <c r="E209" s="51" t="n">
        <v>33600</v>
      </c>
      <c r="F209" s="51" t="n">
        <v>27600</v>
      </c>
      <c r="G209" s="52" t="n">
        <f aca="false">F209/B209</f>
        <v>11.04</v>
      </c>
      <c r="H209" s="52" t="n">
        <f aca="false">F209/D209</f>
        <v>9.85714285714286</v>
      </c>
    </row>
    <row r="210" customFormat="false" ht="15" hidden="false" customHeight="false" outlineLevel="0" collapsed="false">
      <c r="A210" s="15" t="s">
        <v>872</v>
      </c>
      <c r="B210" s="51" t="n">
        <v>5000</v>
      </c>
      <c r="C210" s="51" t="n">
        <v>700</v>
      </c>
      <c r="D210" s="51" t="n">
        <v>5700</v>
      </c>
      <c r="E210" s="51" t="n">
        <v>68400</v>
      </c>
      <c r="F210" s="51" t="n">
        <v>55200</v>
      </c>
      <c r="G210" s="52" t="n">
        <f aca="false">F210/B210</f>
        <v>11.04</v>
      </c>
      <c r="H210" s="52" t="n">
        <f aca="false">F210/D210</f>
        <v>9.68421052631579</v>
      </c>
    </row>
    <row r="211" customFormat="false" ht="25.35" hidden="false" customHeight="false" outlineLevel="0" collapsed="false">
      <c r="A211" s="15" t="s">
        <v>873</v>
      </c>
      <c r="B211" s="51" t="n">
        <v>10000</v>
      </c>
      <c r="C211" s="51" t="n">
        <v>1500</v>
      </c>
      <c r="D211" s="51" t="n">
        <v>11500</v>
      </c>
      <c r="E211" s="51" t="n">
        <v>138000</v>
      </c>
      <c r="F211" s="51" t="n">
        <v>110400</v>
      </c>
      <c r="G211" s="52" t="n">
        <f aca="false">F211/B211</f>
        <v>11.04</v>
      </c>
      <c r="H211" s="52" t="n">
        <f aca="false">F211/D211</f>
        <v>9.6</v>
      </c>
    </row>
    <row r="214" customFormat="false" ht="15" hidden="false" customHeight="false" outlineLevel="0" collapsed="false">
      <c r="A214" s="53" t="s">
        <v>874</v>
      </c>
    </row>
    <row r="215" customFormat="false" ht="15" hidden="false" customHeight="false" outlineLevel="0" collapsed="false">
      <c r="A215" s="18" t="s">
        <v>875</v>
      </c>
    </row>
    <row r="216" customFormat="false" ht="15" hidden="false" customHeight="false" outlineLevel="0" collapsed="false">
      <c r="A216" s="18" t="s">
        <v>876</v>
      </c>
    </row>
    <row r="217" customFormat="false" ht="15" hidden="false" customHeight="false" outlineLevel="0" collapsed="false">
      <c r="A217" s="18" t="s">
        <v>877</v>
      </c>
    </row>
    <row r="219" customFormat="false" ht="26.85" hidden="false" customHeight="false" outlineLevel="0" collapsed="false">
      <c r="A219" s="3" t="s">
        <v>878</v>
      </c>
      <c r="B219" s="3" t="s">
        <v>879</v>
      </c>
      <c r="C219" s="3" t="s">
        <v>880</v>
      </c>
      <c r="D219" s="3" t="s">
        <v>881</v>
      </c>
    </row>
    <row r="220" customFormat="false" ht="15" hidden="false" customHeight="false" outlineLevel="0" collapsed="false">
      <c r="A220" s="8" t="s">
        <v>882</v>
      </c>
      <c r="B220" s="46" t="n">
        <v>0.03</v>
      </c>
      <c r="C220" s="54" t="n">
        <f aca="false">B220*12/11.04</f>
        <v>0.0326086956521739</v>
      </c>
      <c r="D220" s="54" t="n">
        <f aca="false">B220*12/9.6</f>
        <v>0.0375</v>
      </c>
    </row>
    <row r="221" customFormat="false" ht="15" hidden="false" customHeight="false" outlineLevel="0" collapsed="false">
      <c r="A221" s="8" t="s">
        <v>883</v>
      </c>
      <c r="B221" s="46" t="n">
        <v>0.15</v>
      </c>
      <c r="C221" s="54" t="n">
        <f aca="false">B221*12/11.04</f>
        <v>0.16304347826087</v>
      </c>
      <c r="D221" s="54" t="n">
        <f aca="false">B221*12/9.6</f>
        <v>0.1875</v>
      </c>
    </row>
    <row r="222" customFormat="false" ht="49.25" hidden="false" customHeight="false" outlineLevel="0" collapsed="false">
      <c r="A222" s="8" t="s">
        <v>884</v>
      </c>
      <c r="B222" s="46" t="n">
        <v>0.2</v>
      </c>
      <c r="C222" s="54" t="n">
        <f aca="false">B222*12/11.04</f>
        <v>0.217391304347826</v>
      </c>
      <c r="D222" s="54" t="n">
        <f aca="false">B222*12/9.6</f>
        <v>0.25</v>
      </c>
    </row>
    <row r="223" customFormat="false" ht="49.25" hidden="false" customHeight="false" outlineLevel="0" collapsed="false">
      <c r="A223" s="8" t="s">
        <v>885</v>
      </c>
      <c r="B223" s="46" t="n">
        <v>0.22</v>
      </c>
      <c r="C223" s="54" t="n">
        <f aca="false">B223*12/11.04</f>
        <v>0.239130434782609</v>
      </c>
      <c r="D223" s="54" t="n">
        <f aca="false">B223*12/9.6</f>
        <v>0.275</v>
      </c>
    </row>
    <row r="225" customFormat="false" ht="15" hidden="false" customHeight="false" outlineLevel="0" collapsed="false">
      <c r="A225" s="14" t="s">
        <v>886</v>
      </c>
    </row>
    <row r="226" customFormat="false" ht="15" hidden="false" customHeight="false" outlineLevel="0" collapsed="false">
      <c r="A226" s="14" t="s">
        <v>887</v>
      </c>
    </row>
    <row r="229" customFormat="false" ht="15" hidden="false" customHeight="false" outlineLevel="0" collapsed="false">
      <c r="A229" s="13" t="s">
        <v>888</v>
      </c>
    </row>
    <row r="230" customFormat="false" ht="15" hidden="false" customHeight="false" outlineLevel="0" collapsed="false">
      <c r="A230" s="2" t="s">
        <v>889</v>
      </c>
    </row>
    <row r="231" customFormat="false" ht="15" hidden="false" customHeight="false" outlineLevel="0" collapsed="false">
      <c r="A231" s="13" t="s">
        <v>355</v>
      </c>
      <c r="B231" s="55" t="n">
        <v>0.855285665412248</v>
      </c>
      <c r="C231" s="2" t="s">
        <v>890</v>
      </c>
    </row>
    <row r="233" customFormat="false" ht="15" hidden="false" customHeight="false" outlineLevel="0" collapsed="false">
      <c r="A233" s="3" t="s">
        <v>300</v>
      </c>
      <c r="B233" s="3" t="s">
        <v>717</v>
      </c>
      <c r="C233" s="3" t="s">
        <v>891</v>
      </c>
      <c r="D233" s="3" t="s">
        <v>892</v>
      </c>
    </row>
    <row r="234" customFormat="false" ht="26.85" hidden="false" customHeight="false" outlineLevel="0" collapsed="false">
      <c r="A234" s="8" t="s">
        <v>893</v>
      </c>
      <c r="B234" s="46" t="n">
        <v>0.08</v>
      </c>
      <c r="C234" s="49" t="n">
        <f aca="false">B234</f>
        <v>0.08</v>
      </c>
      <c r="D234" s="49" t="n">
        <f aca="false">B234*$B$231</f>
        <v>0.0684228532329798</v>
      </c>
    </row>
    <row r="235" customFormat="false" ht="39.55" hidden="false" customHeight="false" outlineLevel="0" collapsed="false">
      <c r="A235" s="8" t="s">
        <v>894</v>
      </c>
      <c r="B235" s="46" t="n">
        <v>0.12</v>
      </c>
      <c r="C235" s="49" t="n">
        <f aca="false">B235</f>
        <v>0.12</v>
      </c>
      <c r="D235" s="49" t="n">
        <f aca="false">B235*$B$231</f>
        <v>0.10263427984947</v>
      </c>
    </row>
    <row r="236" customFormat="false" ht="15" hidden="false" customHeight="false" outlineLevel="0" collapsed="false">
      <c r="A236" s="8" t="s">
        <v>895</v>
      </c>
      <c r="B236" s="46" t="n">
        <v>0.8</v>
      </c>
      <c r="C236" s="49" t="n">
        <f aca="false">B236</f>
        <v>0.8</v>
      </c>
      <c r="D236" s="49" t="n">
        <f aca="false">B236*$B$231</f>
        <v>0.684228532329798</v>
      </c>
    </row>
    <row r="238" customFormat="false" ht="15" hidden="false" customHeight="false" outlineLevel="0" collapsed="false">
      <c r="A238" s="14" t="s">
        <v>896</v>
      </c>
    </row>
    <row r="239" customFormat="false" ht="15" hidden="false" customHeight="false" outlineLevel="0" collapsed="false">
      <c r="A239" s="14" t="s">
        <v>897</v>
      </c>
    </row>
    <row r="240" customFormat="false" ht="15" hidden="false" customHeight="false" outlineLevel="0" collapsed="false">
      <c r="A240" s="14" t="s">
        <v>898</v>
      </c>
    </row>
    <row r="243" customFormat="false" ht="15" hidden="false" customHeight="false" outlineLevel="0" collapsed="false">
      <c r="A243" s="13" t="s">
        <v>899</v>
      </c>
    </row>
    <row r="244" customFormat="false" ht="15" hidden="false" customHeight="false" outlineLevel="0" collapsed="false">
      <c r="A244" s="2" t="s">
        <v>900</v>
      </c>
    </row>
    <row r="245" customFormat="false" ht="15" hidden="false" customHeight="false" outlineLevel="0" collapsed="false">
      <c r="A245" s="3" t="s">
        <v>591</v>
      </c>
      <c r="B245" s="3" t="s">
        <v>901</v>
      </c>
      <c r="C245" s="3" t="s">
        <v>301</v>
      </c>
      <c r="D245" s="3" t="s">
        <v>902</v>
      </c>
      <c r="E245" s="3" t="s">
        <v>791</v>
      </c>
    </row>
    <row r="246" customFormat="false" ht="74.6" hidden="false" customHeight="false" outlineLevel="0" collapsed="false">
      <c r="A246" s="8" t="s">
        <v>18</v>
      </c>
      <c r="B246" s="10" t="s">
        <v>903</v>
      </c>
      <c r="C246" s="10" t="s">
        <v>904</v>
      </c>
      <c r="D246" s="9" t="s">
        <v>101</v>
      </c>
      <c r="E246" s="9" t="s">
        <v>905</v>
      </c>
    </row>
    <row r="247" customFormat="false" ht="64.9" hidden="false" customHeight="false" outlineLevel="0" collapsed="false">
      <c r="A247" s="8" t="s">
        <v>16</v>
      </c>
      <c r="B247" s="10" t="s">
        <v>906</v>
      </c>
      <c r="C247" s="10" t="s">
        <v>907</v>
      </c>
      <c r="D247" s="10" t="s">
        <v>908</v>
      </c>
      <c r="E247" s="9" t="s">
        <v>909</v>
      </c>
    </row>
    <row r="248" customFormat="false" ht="64.9" hidden="false" customHeight="false" outlineLevel="0" collapsed="false">
      <c r="A248" s="8" t="s">
        <v>15</v>
      </c>
      <c r="B248" s="10" t="s">
        <v>910</v>
      </c>
      <c r="C248" s="10" t="s">
        <v>911</v>
      </c>
      <c r="D248" s="10" t="s">
        <v>912</v>
      </c>
      <c r="E248" s="9" t="s">
        <v>913</v>
      </c>
    </row>
    <row r="249" customFormat="false" ht="64.9" hidden="false" customHeight="false" outlineLevel="0" collapsed="false">
      <c r="A249" s="8" t="s">
        <v>11</v>
      </c>
      <c r="B249" s="10" t="s">
        <v>914</v>
      </c>
      <c r="C249" s="9" t="s">
        <v>796</v>
      </c>
      <c r="D249" s="9" t="s">
        <v>915</v>
      </c>
      <c r="E249" s="9" t="s">
        <v>916</v>
      </c>
    </row>
    <row r="250" customFormat="false" ht="64.9" hidden="false" customHeight="false" outlineLevel="0" collapsed="false">
      <c r="A250" s="8" t="s">
        <v>17</v>
      </c>
      <c r="B250" s="10" t="s">
        <v>917</v>
      </c>
      <c r="C250" s="10" t="s">
        <v>918</v>
      </c>
      <c r="D250" s="9" t="s">
        <v>919</v>
      </c>
      <c r="E250" s="9" t="s">
        <v>920</v>
      </c>
    </row>
    <row r="251" customFormat="false" ht="39.55" hidden="false" customHeight="false" outlineLevel="0" collapsed="false">
      <c r="A251" s="8" t="s">
        <v>12</v>
      </c>
      <c r="B251" s="10" t="s">
        <v>921</v>
      </c>
      <c r="C251" s="9" t="s">
        <v>922</v>
      </c>
      <c r="D251" s="9" t="s">
        <v>101</v>
      </c>
      <c r="E251" s="9" t="s">
        <v>923</v>
      </c>
    </row>
    <row r="252" customFormat="false" ht="52.2" hidden="false" customHeight="false" outlineLevel="0" collapsed="false">
      <c r="A252" s="8" t="s">
        <v>621</v>
      </c>
      <c r="B252" s="9" t="s">
        <v>924</v>
      </c>
      <c r="C252" s="10" t="s">
        <v>925</v>
      </c>
      <c r="D252" s="10" t="s">
        <v>926</v>
      </c>
      <c r="E252" s="9" t="s">
        <v>927</v>
      </c>
    </row>
    <row r="253" customFormat="false" ht="64.9" hidden="false" customHeight="false" outlineLevel="0" collapsed="false">
      <c r="A253" s="8" t="s">
        <v>22</v>
      </c>
      <c r="B253" s="10" t="s">
        <v>928</v>
      </c>
      <c r="C253" s="9" t="s">
        <v>929</v>
      </c>
      <c r="D253" s="9" t="s">
        <v>930</v>
      </c>
      <c r="E253" s="9" t="s">
        <v>931</v>
      </c>
    </row>
    <row r="254" customFormat="false" ht="52.2" hidden="false" customHeight="false" outlineLevel="0" collapsed="false">
      <c r="A254" s="8" t="s">
        <v>10</v>
      </c>
      <c r="B254" s="10" t="s">
        <v>932</v>
      </c>
      <c r="C254" s="10" t="s">
        <v>933</v>
      </c>
      <c r="D254" s="9" t="s">
        <v>934</v>
      </c>
      <c r="E254" s="10" t="s">
        <v>935</v>
      </c>
    </row>
    <row r="255" customFormat="false" ht="52.2" hidden="false" customHeight="false" outlineLevel="0" collapsed="false">
      <c r="A255" s="8" t="s">
        <v>13</v>
      </c>
      <c r="B255" s="10" t="s">
        <v>936</v>
      </c>
      <c r="C255" s="9" t="s">
        <v>937</v>
      </c>
      <c r="D255" s="9" t="s">
        <v>99</v>
      </c>
      <c r="E255" s="9" t="s">
        <v>938</v>
      </c>
    </row>
    <row r="256" customFormat="false" ht="52.2" hidden="false" customHeight="false" outlineLevel="0" collapsed="false">
      <c r="A256" s="8" t="s">
        <v>14</v>
      </c>
      <c r="B256" s="10" t="s">
        <v>939</v>
      </c>
      <c r="C256" s="9" t="s">
        <v>254</v>
      </c>
      <c r="D256" s="9" t="s">
        <v>940</v>
      </c>
      <c r="E256" s="9" t="s">
        <v>941</v>
      </c>
    </row>
    <row r="257" customFormat="false" ht="38.05" hidden="false" customHeight="false" outlineLevel="0" collapsed="false">
      <c r="A257" s="8" t="s">
        <v>19</v>
      </c>
      <c r="B257" s="10" t="s">
        <v>942</v>
      </c>
      <c r="C257" s="10" t="s">
        <v>943</v>
      </c>
      <c r="D257" s="9" t="s">
        <v>101</v>
      </c>
      <c r="E257" s="9" t="s">
        <v>944</v>
      </c>
    </row>
    <row r="258" customFormat="false" ht="52.2" hidden="false" customHeight="false" outlineLevel="0" collapsed="false">
      <c r="A258" s="8" t="s">
        <v>4</v>
      </c>
      <c r="B258" s="10" t="s">
        <v>945</v>
      </c>
      <c r="C258" s="9" t="s">
        <v>946</v>
      </c>
      <c r="D258" s="9" t="s">
        <v>947</v>
      </c>
      <c r="E258" s="9" t="s">
        <v>948</v>
      </c>
    </row>
    <row r="260" customFormat="false" ht="15" hidden="false" customHeight="false" outlineLevel="0" collapsed="false">
      <c r="A260" s="14" t="s">
        <v>949</v>
      </c>
    </row>
    <row r="261" customFormat="false" ht="15" hidden="false" customHeight="false" outlineLevel="0" collapsed="false">
      <c r="A261" s="14" t="s">
        <v>950</v>
      </c>
    </row>
    <row r="262" customFormat="false" ht="15" hidden="false" customHeight="false" outlineLevel="0" collapsed="false">
      <c r="A262" s="2" t="s">
        <v>951</v>
      </c>
    </row>
    <row r="263" customFormat="false" ht="15" hidden="false" customHeight="false" outlineLevel="0" collapsed="false">
      <c r="A263" s="3" t="s">
        <v>952</v>
      </c>
      <c r="B263" s="3" t="s">
        <v>591</v>
      </c>
      <c r="C263" s="3" t="s">
        <v>645</v>
      </c>
      <c r="D263" s="3" t="s">
        <v>953</v>
      </c>
    </row>
    <row r="264" customFormat="false" ht="39.55" hidden="false" customHeight="false" outlineLevel="0" collapsed="false">
      <c r="A264" s="8" t="s">
        <v>954</v>
      </c>
      <c r="B264" s="9" t="s">
        <v>16</v>
      </c>
      <c r="C264" s="9" t="s">
        <v>955</v>
      </c>
      <c r="D264" s="9" t="s">
        <v>956</v>
      </c>
    </row>
    <row r="265" customFormat="false" ht="39.55" hidden="false" customHeight="false" outlineLevel="0" collapsed="false">
      <c r="A265" s="8" t="s">
        <v>954</v>
      </c>
      <c r="B265" s="9" t="s">
        <v>18</v>
      </c>
      <c r="C265" s="9" t="s">
        <v>957</v>
      </c>
      <c r="D265" s="9" t="s">
        <v>372</v>
      </c>
    </row>
    <row r="266" customFormat="false" ht="26.85" hidden="false" customHeight="false" outlineLevel="0" collapsed="false">
      <c r="A266" s="8" t="s">
        <v>958</v>
      </c>
      <c r="B266" s="9" t="s">
        <v>11</v>
      </c>
      <c r="C266" s="9" t="s">
        <v>959</v>
      </c>
      <c r="D266" s="9" t="s">
        <v>372</v>
      </c>
    </row>
    <row r="267" customFormat="false" ht="39.55" hidden="false" customHeight="false" outlineLevel="0" collapsed="false">
      <c r="A267" s="8" t="s">
        <v>958</v>
      </c>
      <c r="B267" s="9" t="s">
        <v>15</v>
      </c>
      <c r="C267" s="9" t="s">
        <v>960</v>
      </c>
      <c r="D267" s="9" t="s">
        <v>961</v>
      </c>
    </row>
    <row r="268" customFormat="false" ht="39.55" hidden="false" customHeight="false" outlineLevel="0" collapsed="false">
      <c r="A268" s="8" t="s">
        <v>958</v>
      </c>
      <c r="B268" s="9" t="s">
        <v>962</v>
      </c>
      <c r="C268" s="9" t="s">
        <v>963</v>
      </c>
      <c r="D268" s="9" t="s">
        <v>964</v>
      </c>
    </row>
    <row r="269" customFormat="false" ht="39.55" hidden="false" customHeight="false" outlineLevel="0" collapsed="false">
      <c r="A269" s="8" t="s">
        <v>958</v>
      </c>
      <c r="B269" s="9" t="s">
        <v>12</v>
      </c>
      <c r="C269" s="9" t="s">
        <v>965</v>
      </c>
      <c r="D269" s="9" t="s">
        <v>966</v>
      </c>
    </row>
    <row r="270" customFormat="false" ht="26.85" hidden="false" customHeight="false" outlineLevel="0" collapsed="false">
      <c r="A270" s="8" t="s">
        <v>958</v>
      </c>
      <c r="B270" s="9" t="s">
        <v>621</v>
      </c>
      <c r="C270" s="9" t="s">
        <v>685</v>
      </c>
      <c r="D270" s="9" t="s">
        <v>967</v>
      </c>
    </row>
    <row r="271" customFormat="false" ht="39.55" hidden="false" customHeight="false" outlineLevel="0" collapsed="false">
      <c r="A271" s="8" t="s">
        <v>958</v>
      </c>
      <c r="B271" s="9" t="s">
        <v>968</v>
      </c>
      <c r="C271" s="9" t="s">
        <v>969</v>
      </c>
      <c r="D271" s="9" t="s">
        <v>970</v>
      </c>
    </row>
    <row r="272" customFormat="false" ht="90.25" hidden="false" customHeight="false" outlineLevel="0" collapsed="false">
      <c r="A272" s="41" t="s">
        <v>971</v>
      </c>
      <c r="B272" s="17" t="s">
        <v>20</v>
      </c>
      <c r="C272" s="17" t="s">
        <v>972</v>
      </c>
      <c r="D272" s="17" t="s">
        <v>973</v>
      </c>
    </row>
    <row r="273" customFormat="false" ht="26.85" hidden="false" customHeight="false" outlineLevel="0" collapsed="false">
      <c r="A273" s="8" t="s">
        <v>974</v>
      </c>
      <c r="B273" s="9" t="s">
        <v>975</v>
      </c>
      <c r="C273" s="10" t="s">
        <v>508</v>
      </c>
      <c r="D273" s="9" t="s">
        <v>451</v>
      </c>
    </row>
    <row r="274" customFormat="false" ht="39.55" hidden="false" customHeight="false" outlineLevel="0" collapsed="false">
      <c r="A274" s="8" t="s">
        <v>976</v>
      </c>
      <c r="B274" s="9" t="s">
        <v>977</v>
      </c>
      <c r="C274" s="9" t="s">
        <v>978</v>
      </c>
      <c r="D274" s="9" t="s">
        <v>979</v>
      </c>
    </row>
    <row r="276" customFormat="false" ht="15" hidden="false" customHeight="false" outlineLevel="0" collapsed="false">
      <c r="A276" s="14" t="s">
        <v>980</v>
      </c>
    </row>
    <row r="277" customFormat="false" ht="15" hidden="false" customHeight="false" outlineLevel="0" collapsed="false">
      <c r="A277" s="14" t="s">
        <v>981</v>
      </c>
    </row>
    <row r="280" customFormat="false" ht="15" hidden="false" customHeight="false" outlineLevel="0" collapsed="false">
      <c r="A280" s="13" t="s">
        <v>982</v>
      </c>
    </row>
    <row r="281" customFormat="false" ht="15" hidden="false" customHeight="false" outlineLevel="0" collapsed="false">
      <c r="A281" s="56" t="s">
        <v>983</v>
      </c>
    </row>
    <row r="282" customFormat="false" ht="15" hidden="false" customHeight="false" outlineLevel="0" collapsed="false">
      <c r="A282" s="2" t="s">
        <v>984</v>
      </c>
    </row>
    <row r="284" customFormat="false" ht="15" hidden="false" customHeight="false" outlineLevel="0" collapsed="false">
      <c r="A284" s="3" t="s">
        <v>985</v>
      </c>
      <c r="B284" s="3" t="s">
        <v>986</v>
      </c>
      <c r="C284" s="3" t="n">
        <v>20</v>
      </c>
      <c r="D284" s="3" t="n">
        <v>40</v>
      </c>
      <c r="E284" s="3" t="n">
        <v>60</v>
      </c>
      <c r="F284" s="3" t="n">
        <v>80</v>
      </c>
      <c r="G284" s="3" t="n">
        <v>100</v>
      </c>
      <c r="H284" s="3" t="n">
        <v>150</v>
      </c>
    </row>
    <row r="285" customFormat="false" ht="26.85" hidden="false" customHeight="false" outlineLevel="0" collapsed="false">
      <c r="A285" s="8" t="s">
        <v>987</v>
      </c>
      <c r="B285" s="36"/>
      <c r="C285" s="57" t="n">
        <v>20</v>
      </c>
      <c r="D285" s="57" t="n">
        <v>40</v>
      </c>
      <c r="E285" s="57" t="n">
        <v>60</v>
      </c>
      <c r="F285" s="57" t="n">
        <v>80</v>
      </c>
      <c r="G285" s="57" t="n">
        <v>100</v>
      </c>
      <c r="H285" s="57" t="n">
        <v>150</v>
      </c>
    </row>
    <row r="286" customFormat="false" ht="25.35" hidden="false" customHeight="false" outlineLevel="0" collapsed="false">
      <c r="A286" s="15" t="s">
        <v>988</v>
      </c>
      <c r="B286" s="58" t="n">
        <v>20</v>
      </c>
      <c r="C286" s="59" t="n">
        <f aca="false">$B286*$B$5/C$285</f>
        <v>0.6</v>
      </c>
      <c r="D286" s="59" t="n">
        <f aca="false">$B286*$B$5/D$285</f>
        <v>0.3</v>
      </c>
      <c r="E286" s="59" t="n">
        <f aca="false">$B286*$B$5/E$285</f>
        <v>0.2</v>
      </c>
      <c r="F286" s="59" t="n">
        <f aca="false">$B286*$B$5/F$285</f>
        <v>0.15</v>
      </c>
      <c r="G286" s="59" t="n">
        <f aca="false">$B286*$B$5/G$285</f>
        <v>0.12</v>
      </c>
      <c r="H286" s="59" t="n">
        <f aca="false">$B286*$B$5/H$285</f>
        <v>0.08</v>
      </c>
    </row>
    <row r="287" customFormat="false" ht="25.35" hidden="false" customHeight="false" outlineLevel="0" collapsed="false">
      <c r="A287" s="15" t="s">
        <v>989</v>
      </c>
      <c r="B287" s="58" t="n">
        <v>22</v>
      </c>
      <c r="C287" s="59" t="n">
        <f aca="false">$B287*$B$5/C$285</f>
        <v>0.66</v>
      </c>
      <c r="D287" s="59" t="n">
        <f aca="false">$B287*$B$5/D$285</f>
        <v>0.33</v>
      </c>
      <c r="E287" s="59" t="n">
        <f aca="false">$B287*$B$5/E$285</f>
        <v>0.22</v>
      </c>
      <c r="F287" s="59" t="n">
        <f aca="false">$B287*$B$5/F$285</f>
        <v>0.165</v>
      </c>
      <c r="G287" s="59" t="n">
        <f aca="false">$B287*$B$5/G$285</f>
        <v>0.132</v>
      </c>
      <c r="H287" s="59" t="n">
        <f aca="false">$B287*$B$5/H$285</f>
        <v>0.088</v>
      </c>
    </row>
    <row r="288" customFormat="false" ht="25.35" hidden="false" customHeight="false" outlineLevel="0" collapsed="false">
      <c r="A288" s="15" t="s">
        <v>990</v>
      </c>
      <c r="B288" s="58" t="n">
        <v>12</v>
      </c>
      <c r="C288" s="59" t="n">
        <f aca="false">$B288*$B$5/C$285</f>
        <v>0.36</v>
      </c>
      <c r="D288" s="59" t="n">
        <f aca="false">$B288*$B$5/D$285</f>
        <v>0.18</v>
      </c>
      <c r="E288" s="59" t="n">
        <f aca="false">$B288*$B$5/E$285</f>
        <v>0.12</v>
      </c>
      <c r="F288" s="59" t="n">
        <f aca="false">$B288*$B$5/F$285</f>
        <v>0.09</v>
      </c>
      <c r="G288" s="59" t="n">
        <f aca="false">$B288*$B$5/G$285</f>
        <v>0.072</v>
      </c>
      <c r="H288" s="59" t="n">
        <f aca="false">$B288*$B$5/H$285</f>
        <v>0.048</v>
      </c>
    </row>
    <row r="289" customFormat="false" ht="25.35" hidden="false" customHeight="false" outlineLevel="0" collapsed="false">
      <c r="A289" s="15" t="s">
        <v>991</v>
      </c>
      <c r="B289" s="58" t="n">
        <v>14</v>
      </c>
      <c r="C289" s="59" t="n">
        <f aca="false">$B289*$B$5/C$285</f>
        <v>0.42</v>
      </c>
      <c r="D289" s="59" t="n">
        <f aca="false">$B289*$B$5/D$285</f>
        <v>0.21</v>
      </c>
      <c r="E289" s="59" t="n">
        <f aca="false">$B289*$B$5/E$285</f>
        <v>0.14</v>
      </c>
      <c r="F289" s="59" t="n">
        <f aca="false">$B289*$B$5/F$285</f>
        <v>0.105</v>
      </c>
      <c r="G289" s="59" t="n">
        <f aca="false">$B289*$B$5/G$285</f>
        <v>0.084</v>
      </c>
      <c r="H289" s="59" t="n">
        <f aca="false">$B289*$B$5/H$285</f>
        <v>0.056</v>
      </c>
    </row>
    <row r="290" customFormat="false" ht="36.55" hidden="false" customHeight="false" outlineLevel="0" collapsed="false">
      <c r="A290" s="15" t="s">
        <v>992</v>
      </c>
      <c r="B290" s="58" t="n">
        <v>10</v>
      </c>
      <c r="C290" s="59" t="n">
        <f aca="false">$B290*$B$5/C$285</f>
        <v>0.3</v>
      </c>
      <c r="D290" s="59" t="n">
        <f aca="false">$B290*$B$5/D$285</f>
        <v>0.15</v>
      </c>
      <c r="E290" s="59" t="n">
        <f aca="false">$B290*$B$5/E$285</f>
        <v>0.1</v>
      </c>
      <c r="F290" s="59" t="n">
        <f aca="false">$B290*$B$5/F$285</f>
        <v>0.075</v>
      </c>
      <c r="G290" s="59" t="n">
        <f aca="false">$B290*$B$5/G$285</f>
        <v>0.06</v>
      </c>
      <c r="H290" s="59" t="n">
        <f aca="false">$B290*$B$5/H$285</f>
        <v>0.04</v>
      </c>
    </row>
    <row r="291" customFormat="false" ht="36.55" hidden="false" customHeight="false" outlineLevel="0" collapsed="false">
      <c r="A291" s="15" t="s">
        <v>993</v>
      </c>
      <c r="B291" s="58" t="n">
        <v>12</v>
      </c>
      <c r="C291" s="59" t="n">
        <f aca="false">$B291*$B$5/C$285</f>
        <v>0.36</v>
      </c>
      <c r="D291" s="59" t="n">
        <f aca="false">$B291*$B$5/D$285</f>
        <v>0.18</v>
      </c>
      <c r="E291" s="59" t="n">
        <f aca="false">$B291*$B$5/E$285</f>
        <v>0.12</v>
      </c>
      <c r="F291" s="59" t="n">
        <f aca="false">$B291*$B$5/F$285</f>
        <v>0.09</v>
      </c>
      <c r="G291" s="59" t="n">
        <f aca="false">$B291*$B$5/G$285</f>
        <v>0.072</v>
      </c>
      <c r="H291" s="59" t="n">
        <f aca="false">$B291*$B$5/H$285</f>
        <v>0.048</v>
      </c>
    </row>
    <row r="292" customFormat="false" ht="25.35" hidden="false" customHeight="false" outlineLevel="0" collapsed="false">
      <c r="A292" s="15" t="s">
        <v>994</v>
      </c>
      <c r="B292" s="58" t="n">
        <v>4</v>
      </c>
      <c r="C292" s="59" t="n">
        <f aca="false">$B292*$B$5/C$285</f>
        <v>0.12</v>
      </c>
      <c r="D292" s="59" t="n">
        <f aca="false">$B292*$B$5/D$285</f>
        <v>0.06</v>
      </c>
      <c r="E292" s="59" t="n">
        <f aca="false">$B292*$B$5/E$285</f>
        <v>0.04</v>
      </c>
      <c r="F292" s="59" t="n">
        <f aca="false">$B292*$B$5/F$285</f>
        <v>0.03</v>
      </c>
      <c r="G292" s="59" t="n">
        <f aca="false">$B292*$B$5/G$285</f>
        <v>0.024</v>
      </c>
      <c r="H292" s="59" t="n">
        <f aca="false">$B292*$B$5/H$285</f>
        <v>0.016</v>
      </c>
    </row>
    <row r="293" customFormat="false" ht="25.35" hidden="false" customHeight="false" outlineLevel="0" collapsed="false">
      <c r="A293" s="15" t="s">
        <v>995</v>
      </c>
      <c r="B293" s="58" t="n">
        <v>1</v>
      </c>
      <c r="C293" s="59" t="n">
        <f aca="false">$B293*$B$5/C$285</f>
        <v>0.03</v>
      </c>
      <c r="D293" s="59" t="n">
        <f aca="false">$B293*$B$5/D$285</f>
        <v>0.015</v>
      </c>
      <c r="E293" s="59" t="n">
        <f aca="false">$B293*$B$5/E$285</f>
        <v>0.01</v>
      </c>
      <c r="F293" s="59" t="n">
        <f aca="false">$B293*$B$5/F$285</f>
        <v>0.0075</v>
      </c>
      <c r="G293" s="59" t="n">
        <f aca="false">$B293*$B$5/G$285</f>
        <v>0.006</v>
      </c>
      <c r="H293" s="59" t="n">
        <f aca="false">$B293*$B$5/H$285</f>
        <v>0.004</v>
      </c>
    </row>
    <row r="295" customFormat="false" ht="15" hidden="false" customHeight="false" outlineLevel="0" collapsed="false">
      <c r="A295" s="14" t="s">
        <v>996</v>
      </c>
    </row>
    <row r="296" customFormat="false" ht="15" hidden="false" customHeight="false" outlineLevel="0" collapsed="false">
      <c r="A296" s="14" t="s">
        <v>997</v>
      </c>
    </row>
    <row r="299" customFormat="false" ht="15" hidden="false" customHeight="false" outlineLevel="0" collapsed="false">
      <c r="A299" s="13" t="s">
        <v>998</v>
      </c>
    </row>
    <row r="300" customFormat="false" ht="15" hidden="false" customHeight="false" outlineLevel="0" collapsed="false">
      <c r="A300" s="2" t="s">
        <v>999</v>
      </c>
    </row>
    <row r="301" customFormat="false" ht="15" hidden="false" customHeight="false" outlineLevel="0" collapsed="false">
      <c r="A301" s="3" t="s">
        <v>591</v>
      </c>
      <c r="B301" s="3" t="s">
        <v>1000</v>
      </c>
      <c r="C301" s="3" t="s">
        <v>1001</v>
      </c>
      <c r="D301" s="3" t="s">
        <v>1002</v>
      </c>
      <c r="E301" s="3" t="s">
        <v>791</v>
      </c>
    </row>
    <row r="302" customFormat="false" ht="26.85" hidden="false" customHeight="false" outlineLevel="0" collapsed="false">
      <c r="A302" s="8" t="s">
        <v>16</v>
      </c>
      <c r="B302" s="9" t="s">
        <v>1003</v>
      </c>
      <c r="C302" s="10" t="s">
        <v>1004</v>
      </c>
      <c r="D302" s="9" t="s">
        <v>1005</v>
      </c>
      <c r="E302" s="9" t="s">
        <v>1006</v>
      </c>
    </row>
    <row r="303" customFormat="false" ht="26.85" hidden="false" customHeight="false" outlineLevel="0" collapsed="false">
      <c r="A303" s="8" t="s">
        <v>18</v>
      </c>
      <c r="B303" s="9" t="s">
        <v>1007</v>
      </c>
      <c r="C303" s="10" t="s">
        <v>1004</v>
      </c>
      <c r="D303" s="10" t="s">
        <v>1008</v>
      </c>
      <c r="E303" s="9"/>
    </row>
    <row r="304" customFormat="false" ht="39.55" hidden="false" customHeight="false" outlineLevel="0" collapsed="false">
      <c r="A304" s="8" t="s">
        <v>11</v>
      </c>
      <c r="B304" s="9" t="s">
        <v>1009</v>
      </c>
      <c r="C304" s="10" t="s">
        <v>1004</v>
      </c>
      <c r="D304" s="9" t="s">
        <v>1010</v>
      </c>
      <c r="E304" s="9" t="s">
        <v>1011</v>
      </c>
    </row>
    <row r="305" customFormat="false" ht="26.85" hidden="false" customHeight="false" outlineLevel="0" collapsed="false">
      <c r="A305" s="8" t="s">
        <v>12</v>
      </c>
      <c r="B305" s="9" t="s">
        <v>1012</v>
      </c>
      <c r="C305" s="10" t="s">
        <v>1004</v>
      </c>
      <c r="D305" s="10" t="s">
        <v>1013</v>
      </c>
      <c r="E305" s="9"/>
    </row>
    <row r="306" customFormat="false" ht="39.55" hidden="false" customHeight="false" outlineLevel="0" collapsed="false">
      <c r="A306" s="8" t="s">
        <v>4</v>
      </c>
      <c r="B306" s="9" t="s">
        <v>1014</v>
      </c>
      <c r="C306" s="10" t="s">
        <v>1004</v>
      </c>
      <c r="D306" s="10" t="s">
        <v>1015</v>
      </c>
      <c r="E306" s="9" t="s">
        <v>1016</v>
      </c>
    </row>
    <row r="307" customFormat="false" ht="26.85" hidden="false" customHeight="false" outlineLevel="0" collapsed="false">
      <c r="A307" s="8" t="s">
        <v>13</v>
      </c>
      <c r="B307" s="9" t="s">
        <v>1017</v>
      </c>
      <c r="C307" s="10" t="s">
        <v>1004</v>
      </c>
      <c r="D307" s="10" t="s">
        <v>1018</v>
      </c>
      <c r="E307" s="9"/>
    </row>
    <row r="308" customFormat="false" ht="26.85" hidden="false" customHeight="false" outlineLevel="0" collapsed="false">
      <c r="A308" s="8" t="s">
        <v>19</v>
      </c>
      <c r="B308" s="9" t="s">
        <v>1019</v>
      </c>
      <c r="C308" s="10" t="s">
        <v>1004</v>
      </c>
      <c r="D308" s="10" t="s">
        <v>1020</v>
      </c>
      <c r="E308" s="9"/>
    </row>
    <row r="309" customFormat="false" ht="39.55" hidden="false" customHeight="false" outlineLevel="0" collapsed="false">
      <c r="A309" s="8" t="s">
        <v>621</v>
      </c>
      <c r="B309" s="9" t="s">
        <v>1021</v>
      </c>
      <c r="C309" s="10" t="s">
        <v>1004</v>
      </c>
      <c r="D309" s="10" t="s">
        <v>1022</v>
      </c>
      <c r="E309" s="9" t="s">
        <v>1023</v>
      </c>
    </row>
    <row r="310" customFormat="false" ht="26.85" hidden="false" customHeight="false" outlineLevel="0" collapsed="false">
      <c r="A310" s="8" t="s">
        <v>14</v>
      </c>
      <c r="B310" s="9" t="s">
        <v>14</v>
      </c>
      <c r="C310" s="10" t="s">
        <v>1024</v>
      </c>
      <c r="D310" s="10" t="s">
        <v>1025</v>
      </c>
      <c r="E310" s="9"/>
    </row>
    <row r="311" customFormat="false" ht="26.85" hidden="false" customHeight="false" outlineLevel="0" collapsed="false">
      <c r="A311" s="8" t="s">
        <v>10</v>
      </c>
      <c r="B311" s="9" t="s">
        <v>1026</v>
      </c>
      <c r="C311" s="10" t="s">
        <v>1027</v>
      </c>
      <c r="D311" s="10" t="s">
        <v>1028</v>
      </c>
      <c r="E311" s="9"/>
    </row>
    <row r="312" customFormat="false" ht="52.2" hidden="false" customHeight="false" outlineLevel="0" collapsed="false">
      <c r="A312" s="8" t="s">
        <v>17</v>
      </c>
      <c r="B312" s="9" t="s">
        <v>1029</v>
      </c>
      <c r="C312" s="10" t="s">
        <v>1030</v>
      </c>
      <c r="D312" s="10" t="s">
        <v>1031</v>
      </c>
      <c r="E312" s="9" t="s">
        <v>1032</v>
      </c>
    </row>
    <row r="313" customFormat="false" ht="39.55" hidden="false" customHeight="false" outlineLevel="0" collapsed="false">
      <c r="A313" s="8" t="s">
        <v>792</v>
      </c>
      <c r="B313" s="9" t="s">
        <v>1033</v>
      </c>
      <c r="C313" s="10" t="s">
        <v>1034</v>
      </c>
      <c r="D313" s="10" t="s">
        <v>1035</v>
      </c>
      <c r="E313" s="9" t="s">
        <v>1036</v>
      </c>
    </row>
    <row r="314" customFormat="false" ht="39.55" hidden="false" customHeight="false" outlineLevel="0" collapsed="false">
      <c r="A314" s="8" t="s">
        <v>15</v>
      </c>
      <c r="B314" s="9" t="s">
        <v>1037</v>
      </c>
      <c r="C314" s="10" t="s">
        <v>1038</v>
      </c>
      <c r="D314" s="9" t="s">
        <v>1039</v>
      </c>
      <c r="E314" s="9" t="s">
        <v>1040</v>
      </c>
    </row>
    <row r="315" customFormat="false" ht="26.85" hidden="false" customHeight="false" outlineLevel="0" collapsed="false">
      <c r="A315" s="8" t="s">
        <v>22</v>
      </c>
      <c r="B315" s="9" t="s">
        <v>1041</v>
      </c>
      <c r="C315" s="10" t="s">
        <v>1042</v>
      </c>
      <c r="D315" s="10" t="s">
        <v>1043</v>
      </c>
      <c r="E31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1044</v>
      </c>
    </row>
    <row r="3" customFormat="false" ht="15" hidden="false" customHeight="false" outlineLevel="0" collapsed="false">
      <c r="A3" s="60" t="s">
        <v>1045</v>
      </c>
    </row>
    <row r="4" customFormat="false" ht="15" hidden="false" customHeight="false" outlineLevel="0" collapsed="false">
      <c r="A4" s="56" t="s">
        <v>1046</v>
      </c>
    </row>
    <row r="5" customFormat="false" ht="15" hidden="false" customHeight="false" outlineLevel="0" collapsed="false">
      <c r="A5" s="13" t="s">
        <v>1047</v>
      </c>
      <c r="B5" s="61" t="n">
        <v>10</v>
      </c>
      <c r="C5" s="56" t="s">
        <v>1048</v>
      </c>
    </row>
    <row r="7" customFormat="false" ht="15" hidden="false" customHeight="false" outlineLevel="0" collapsed="false">
      <c r="A7" s="3" t="s">
        <v>3</v>
      </c>
      <c r="B7" s="3" t="s">
        <v>1049</v>
      </c>
      <c r="C7" s="3" t="s">
        <v>1050</v>
      </c>
      <c r="D7" s="3" t="s">
        <v>1051</v>
      </c>
      <c r="E7" s="3" t="s">
        <v>1052</v>
      </c>
      <c r="F7" s="3" t="s">
        <v>1053</v>
      </c>
    </row>
    <row r="8" customFormat="false" ht="15" hidden="false" customHeight="false" outlineLevel="0" collapsed="false">
      <c r="A8" s="10" t="s">
        <v>1054</v>
      </c>
      <c r="B8" s="62" t="n">
        <v>1</v>
      </c>
      <c r="C8" s="62" t="n">
        <v>2</v>
      </c>
      <c r="D8" s="62" t="n">
        <v>2</v>
      </c>
      <c r="E8" s="62" t="n">
        <v>3</v>
      </c>
      <c r="F8" s="62" t="n">
        <v>5</v>
      </c>
    </row>
    <row r="9" customFormat="false" ht="15" hidden="false" customHeight="false" outlineLevel="0" collapsed="false">
      <c r="A9" s="10" t="s">
        <v>1055</v>
      </c>
      <c r="B9" s="51" t="n">
        <v>1000</v>
      </c>
      <c r="C9" s="51" t="n">
        <v>100000</v>
      </c>
      <c r="D9" s="51" t="n">
        <v>500000</v>
      </c>
      <c r="E9" s="51" t="n">
        <v>3000000</v>
      </c>
      <c r="F9" s="51" t="n">
        <v>5000000</v>
      </c>
    </row>
    <row r="10" customFormat="false" ht="15" hidden="false" customHeight="false" outlineLevel="0" collapsed="false">
      <c r="A10" s="10" t="s">
        <v>1056</v>
      </c>
      <c r="B10" s="51" t="n">
        <v>10</v>
      </c>
      <c r="C10" s="51" t="n">
        <v>100</v>
      </c>
      <c r="D10" s="51" t="n">
        <v>200</v>
      </c>
      <c r="E10" s="51" t="n">
        <v>500</v>
      </c>
      <c r="F10" s="51" t="n">
        <v>1000</v>
      </c>
    </row>
    <row r="11" customFormat="false" ht="15" hidden="false" customHeight="false" outlineLevel="0" collapsed="false">
      <c r="A11" s="10" t="s">
        <v>1057</v>
      </c>
      <c r="B11" s="63" t="n">
        <v>0.7</v>
      </c>
      <c r="C11" s="63" t="n">
        <v>0.75</v>
      </c>
      <c r="D11" s="63" t="n">
        <v>0.8</v>
      </c>
      <c r="E11" s="63" t="n">
        <v>0.85</v>
      </c>
      <c r="F11" s="63" t="n">
        <v>0.9</v>
      </c>
    </row>
    <row r="12" customFormat="false" ht="15" hidden="false" customHeight="false" outlineLevel="0" collapsed="false">
      <c r="A12" s="10" t="s">
        <v>1058</v>
      </c>
      <c r="B12" s="63" t="n">
        <v>0.1</v>
      </c>
      <c r="C12" s="63" t="n">
        <v>0.1</v>
      </c>
      <c r="D12" s="63" t="n">
        <v>0.11</v>
      </c>
      <c r="E12" s="63" t="n">
        <v>0.12</v>
      </c>
      <c r="F12" s="63" t="n">
        <v>0.13</v>
      </c>
    </row>
    <row r="13" customFormat="false" ht="15" hidden="false" customHeight="false" outlineLevel="0" collapsed="false">
      <c r="A13" s="10" t="s">
        <v>1059</v>
      </c>
      <c r="B13" s="63" t="n">
        <v>0.11</v>
      </c>
      <c r="C13" s="63" t="n">
        <v>0.11</v>
      </c>
      <c r="D13" s="63" t="n">
        <v>0.14</v>
      </c>
      <c r="E13" s="63" t="n">
        <v>0.17</v>
      </c>
      <c r="F13" s="63" t="n">
        <v>0.2</v>
      </c>
    </row>
    <row r="14" customFormat="false" ht="15" hidden="false" customHeight="false" outlineLevel="0" collapsed="false">
      <c r="A14" s="12" t="s">
        <v>1060</v>
      </c>
      <c r="B14" s="64" t="n">
        <f aca="false">B12/$B$5</f>
        <v>0.01</v>
      </c>
      <c r="C14" s="64" t="n">
        <f aca="false">C12/$B$5</f>
        <v>0.01</v>
      </c>
      <c r="D14" s="64" t="n">
        <f aca="false">D12/$B$5</f>
        <v>0.011</v>
      </c>
      <c r="E14" s="64" t="n">
        <f aca="false">E12/$B$5</f>
        <v>0.012</v>
      </c>
      <c r="F14" s="64" t="n">
        <f aca="false">F12/$B$5</f>
        <v>0.013</v>
      </c>
    </row>
    <row r="15" customFormat="false" ht="15" hidden="false" customHeight="false" outlineLevel="0" collapsed="false">
      <c r="A15" s="12" t="s">
        <v>1061</v>
      </c>
      <c r="B15" s="64" t="n">
        <f aca="false">B13/$B$5</f>
        <v>0.011</v>
      </c>
      <c r="C15" s="64" t="n">
        <f aca="false">C13/$B$5</f>
        <v>0.011</v>
      </c>
      <c r="D15" s="64" t="n">
        <f aca="false">D13/$B$5</f>
        <v>0.014</v>
      </c>
      <c r="E15" s="64" t="n">
        <f aca="false">E13/$B$5</f>
        <v>0.017</v>
      </c>
      <c r="F15" s="64" t="n">
        <f aca="false">F13/$B$5</f>
        <v>0.02</v>
      </c>
    </row>
    <row r="16" customFormat="false" ht="15" hidden="false" customHeight="false" outlineLevel="0" collapsed="false">
      <c r="A16" s="12" t="s">
        <v>1062</v>
      </c>
      <c r="B16" s="64" t="n">
        <f aca="false">(B13+0.03)/$B$5</f>
        <v>0.014</v>
      </c>
      <c r="C16" s="64" t="n">
        <f aca="false">(C13+0.03)/$B$5</f>
        <v>0.014</v>
      </c>
      <c r="D16" s="64" t="n">
        <f aca="false">(D13+0.03)/$B$5</f>
        <v>0.017</v>
      </c>
      <c r="E16" s="64" t="n">
        <f aca="false">(E13+0.03)/$B$5</f>
        <v>0.02</v>
      </c>
      <c r="F16" s="64" t="n">
        <f aca="false">(F13+0.03)/$B$5</f>
        <v>0.023</v>
      </c>
    </row>
    <row r="17" customFormat="false" ht="15" hidden="false" customHeight="false" outlineLevel="0" collapsed="false">
      <c r="A17" s="10" t="s">
        <v>1063</v>
      </c>
      <c r="B17" s="65" t="s">
        <v>508</v>
      </c>
      <c r="C17" s="65" t="n">
        <v>10000</v>
      </c>
      <c r="D17" s="65" t="n">
        <v>50000</v>
      </c>
      <c r="E17" s="65" t="n">
        <v>300000</v>
      </c>
      <c r="F17" s="65" t="n">
        <v>500000</v>
      </c>
    </row>
    <row r="20" customFormat="false" ht="15" hidden="false" customHeight="false" outlineLevel="0" collapsed="false">
      <c r="A20" s="13" t="s">
        <v>1064</v>
      </c>
    </row>
    <row r="22" customFormat="false" ht="15" hidden="false" customHeight="false" outlineLevel="0" collapsed="false">
      <c r="A22" s="60" t="s">
        <v>1065</v>
      </c>
    </row>
    <row r="23" customFormat="false" ht="15" hidden="false" customHeight="false" outlineLevel="0" collapsed="false">
      <c r="A23" s="2" t="s">
        <v>1066</v>
      </c>
    </row>
    <row r="25" customFormat="false" ht="15" hidden="false" customHeight="false" outlineLevel="0" collapsed="false">
      <c r="A25" s="16" t="s">
        <v>3</v>
      </c>
      <c r="B25" s="16" t="s">
        <v>1067</v>
      </c>
      <c r="C25" s="16" t="s">
        <v>1068</v>
      </c>
      <c r="D25" s="16" t="s">
        <v>1069</v>
      </c>
      <c r="E25" s="16" t="s">
        <v>1070</v>
      </c>
      <c r="F25" s="16" t="s">
        <v>1071</v>
      </c>
    </row>
    <row r="26" customFormat="false" ht="15" hidden="false" customHeight="false" outlineLevel="0" collapsed="false">
      <c r="A26" s="8" t="s">
        <v>1072</v>
      </c>
      <c r="B26" s="66" t="s">
        <v>1073</v>
      </c>
      <c r="C26" s="66" t="s">
        <v>1073</v>
      </c>
      <c r="D26" s="66" t="s">
        <v>1074</v>
      </c>
      <c r="E26" s="66" t="s">
        <v>1075</v>
      </c>
      <c r="F26" s="66" t="s">
        <v>1076</v>
      </c>
    </row>
    <row r="27" customFormat="false" ht="15" hidden="false" customHeight="false" outlineLevel="0" collapsed="false">
      <c r="A27" s="15" t="s">
        <v>1077</v>
      </c>
      <c r="B27" s="51" t="n">
        <v>100000</v>
      </c>
      <c r="C27" s="51" t="n">
        <v>200000</v>
      </c>
      <c r="D27" s="51" t="n">
        <v>300000</v>
      </c>
      <c r="E27" s="51" t="n">
        <v>500000</v>
      </c>
      <c r="F27" s="51" t="n">
        <v>800000</v>
      </c>
    </row>
    <row r="28" customFormat="false" ht="15" hidden="false" customHeight="false" outlineLevel="0" collapsed="false">
      <c r="A28" s="15" t="s">
        <v>1078</v>
      </c>
      <c r="B28" s="51" t="n">
        <v>1</v>
      </c>
      <c r="C28" s="51" t="n">
        <v>5</v>
      </c>
      <c r="D28" s="51" t="n">
        <v>5</v>
      </c>
      <c r="E28" s="51" t="n">
        <v>5</v>
      </c>
      <c r="F28" s="51" t="n">
        <v>10</v>
      </c>
    </row>
    <row r="29" customFormat="false" ht="15" hidden="false" customHeight="false" outlineLevel="0" collapsed="false">
      <c r="A29" s="15" t="s">
        <v>1079</v>
      </c>
      <c r="B29" s="51" t="n">
        <v>50</v>
      </c>
      <c r="C29" s="51" t="n">
        <v>80</v>
      </c>
      <c r="D29" s="51" t="n">
        <v>100</v>
      </c>
      <c r="E29" s="51" t="n">
        <v>200</v>
      </c>
      <c r="F29" s="51" t="n">
        <v>300</v>
      </c>
    </row>
    <row r="30" customFormat="false" ht="15" hidden="false" customHeight="false" outlineLevel="0" collapsed="false">
      <c r="A30" s="15" t="s">
        <v>1080</v>
      </c>
      <c r="B30" s="66" t="s">
        <v>508</v>
      </c>
      <c r="C30" s="51" t="n">
        <v>500000</v>
      </c>
      <c r="D30" s="51" t="n">
        <v>1500000</v>
      </c>
      <c r="E30" s="51" t="n">
        <v>3000000</v>
      </c>
      <c r="F30" s="51" t="n">
        <v>4000000</v>
      </c>
    </row>
    <row r="31" customFormat="false" ht="15" hidden="false" customHeight="false" outlineLevel="0" collapsed="false">
      <c r="A31" s="15" t="s">
        <v>1081</v>
      </c>
      <c r="B31" s="66" t="s">
        <v>508</v>
      </c>
      <c r="C31" s="51" t="n">
        <v>100</v>
      </c>
      <c r="D31" s="51" t="n">
        <v>200</v>
      </c>
      <c r="E31" s="51" t="n">
        <v>500</v>
      </c>
      <c r="F31" s="51" t="n">
        <v>800</v>
      </c>
    </row>
    <row r="32" customFormat="false" ht="15" hidden="false" customHeight="false" outlineLevel="0" collapsed="false">
      <c r="A32" s="67" t="s">
        <v>1082</v>
      </c>
      <c r="B32" s="68" t="n">
        <v>0.9</v>
      </c>
      <c r="C32" s="68" t="n">
        <v>0.95</v>
      </c>
      <c r="D32" s="68" t="n">
        <v>0.97</v>
      </c>
      <c r="E32" s="68" t="n">
        <v>0.97</v>
      </c>
      <c r="F32" s="68" t="n">
        <v>0.97</v>
      </c>
    </row>
    <row r="33" customFormat="false" ht="15" hidden="false" customHeight="false" outlineLevel="0" collapsed="false">
      <c r="A33" s="15" t="s">
        <v>1083</v>
      </c>
      <c r="B33" s="69" t="s">
        <v>1084</v>
      </c>
      <c r="C33" s="69" t="s">
        <v>1085</v>
      </c>
      <c r="D33" s="69" t="s">
        <v>1086</v>
      </c>
      <c r="E33" s="69" t="s">
        <v>1087</v>
      </c>
      <c r="F33" s="69" t="s">
        <v>1087</v>
      </c>
    </row>
    <row r="34" customFormat="false" ht="15" hidden="false" customHeight="false" outlineLevel="0" collapsed="false">
      <c r="A34" s="15" t="s">
        <v>1088</v>
      </c>
      <c r="B34" s="66" t="s">
        <v>1089</v>
      </c>
      <c r="C34" s="66" t="s">
        <v>1089</v>
      </c>
      <c r="D34" s="66" t="s">
        <v>1089</v>
      </c>
      <c r="E34" s="66" t="s">
        <v>1089</v>
      </c>
      <c r="F34" s="66" t="s">
        <v>1089</v>
      </c>
    </row>
    <row r="35" customFormat="false" ht="15" hidden="false" customHeight="false" outlineLevel="0" collapsed="false">
      <c r="A35" s="15" t="s">
        <v>1090</v>
      </c>
      <c r="B35" s="69" t="s">
        <v>1091</v>
      </c>
      <c r="C35" s="69" t="s">
        <v>1091</v>
      </c>
      <c r="D35" s="69" t="s">
        <v>1091</v>
      </c>
      <c r="E35" s="69" t="s">
        <v>1092</v>
      </c>
      <c r="F35" s="69" t="s">
        <v>1092</v>
      </c>
    </row>
    <row r="36" customFormat="false" ht="15" hidden="false" customHeight="false" outlineLevel="0" collapsed="false">
      <c r="A36" s="15" t="s">
        <v>1093</v>
      </c>
      <c r="B36" s="69" t="s">
        <v>1094</v>
      </c>
      <c r="C36" s="69" t="s">
        <v>1094</v>
      </c>
      <c r="D36" s="69" t="s">
        <v>1094</v>
      </c>
      <c r="E36" s="69" t="s">
        <v>1095</v>
      </c>
      <c r="F36" s="69" t="s">
        <v>1095</v>
      </c>
    </row>
    <row r="37" customFormat="false" ht="15" hidden="false" customHeight="false" outlineLevel="0" collapsed="false">
      <c r="A37" s="15" t="s">
        <v>1096</v>
      </c>
      <c r="B37" s="66" t="s">
        <v>508</v>
      </c>
      <c r="C37" s="66" t="s">
        <v>508</v>
      </c>
      <c r="D37" s="66" t="s">
        <v>1097</v>
      </c>
      <c r="E37" s="66" t="s">
        <v>1098</v>
      </c>
      <c r="F37" s="66" t="s">
        <v>1099</v>
      </c>
    </row>
    <row r="38" customFormat="false" ht="15" hidden="false" customHeight="false" outlineLevel="0" collapsed="false">
      <c r="A38" s="15" t="s">
        <v>1100</v>
      </c>
      <c r="B38" s="66" t="s">
        <v>508</v>
      </c>
      <c r="C38" s="66" t="s">
        <v>508</v>
      </c>
      <c r="D38" s="69" t="s">
        <v>1091</v>
      </c>
      <c r="E38" s="69" t="s">
        <v>1091</v>
      </c>
      <c r="F38" s="69" t="s">
        <v>1091</v>
      </c>
    </row>
    <row r="39" customFormat="false" ht="15" hidden="false" customHeight="false" outlineLevel="0" collapsed="false">
      <c r="A39" s="15" t="s">
        <v>1101</v>
      </c>
      <c r="B39" s="66" t="s">
        <v>508</v>
      </c>
      <c r="C39" s="66" t="s">
        <v>1102</v>
      </c>
      <c r="D39" s="66" t="s">
        <v>1103</v>
      </c>
      <c r="E39" s="66" t="s">
        <v>1104</v>
      </c>
      <c r="F39" s="66" t="s">
        <v>1105</v>
      </c>
    </row>
    <row r="40" customFormat="false" ht="15" hidden="false" customHeight="false" outlineLevel="0" collapsed="false">
      <c r="A40" s="15" t="s">
        <v>1106</v>
      </c>
      <c r="B40" s="66" t="s">
        <v>508</v>
      </c>
      <c r="C40" s="69" t="s">
        <v>1107</v>
      </c>
      <c r="D40" s="69" t="s">
        <v>1107</v>
      </c>
      <c r="E40" s="69" t="s">
        <v>1091</v>
      </c>
      <c r="F40" s="69" t="s">
        <v>1091</v>
      </c>
    </row>
    <row r="41" customFormat="false" ht="15" hidden="false" customHeight="false" outlineLevel="0" collapsed="false">
      <c r="A41" s="15" t="s">
        <v>1108</v>
      </c>
      <c r="B41" s="66" t="s">
        <v>508</v>
      </c>
      <c r="C41" s="66" t="s">
        <v>508</v>
      </c>
      <c r="D41" s="66" t="s">
        <v>508</v>
      </c>
      <c r="E41" s="69" t="s">
        <v>1091</v>
      </c>
      <c r="F41" s="69" t="s">
        <v>1091</v>
      </c>
    </row>
    <row r="42" customFormat="false" ht="15" hidden="false" customHeight="false" outlineLevel="0" collapsed="false">
      <c r="A42" s="15" t="s">
        <v>1109</v>
      </c>
      <c r="B42" s="66" t="s">
        <v>508</v>
      </c>
      <c r="C42" s="69" t="s">
        <v>1091</v>
      </c>
      <c r="D42" s="69" t="s">
        <v>1091</v>
      </c>
      <c r="E42" s="69" t="s">
        <v>1091</v>
      </c>
      <c r="F42" s="69" t="s">
        <v>1091</v>
      </c>
    </row>
    <row r="43" customFormat="false" ht="15" hidden="false" customHeight="false" outlineLevel="0" collapsed="false">
      <c r="A43" s="15" t="s">
        <v>1110</v>
      </c>
      <c r="B43" s="66" t="s">
        <v>508</v>
      </c>
      <c r="C43" s="66" t="s">
        <v>508</v>
      </c>
      <c r="D43" s="69" t="s">
        <v>1107</v>
      </c>
      <c r="E43" s="69" t="s">
        <v>1111</v>
      </c>
      <c r="F43" s="69" t="s">
        <v>1111</v>
      </c>
    </row>
    <row r="44" customFormat="false" ht="15" hidden="false" customHeight="false" outlineLevel="0" collapsed="false">
      <c r="A44" s="15" t="s">
        <v>1112</v>
      </c>
      <c r="B44" s="66" t="s">
        <v>508</v>
      </c>
      <c r="C44" s="66" t="s">
        <v>508</v>
      </c>
      <c r="D44" s="69" t="s">
        <v>1113</v>
      </c>
      <c r="E44" s="69" t="s">
        <v>1092</v>
      </c>
      <c r="F44" s="69" t="s">
        <v>1092</v>
      </c>
    </row>
    <row r="45" customFormat="false" ht="15" hidden="false" customHeight="false" outlineLevel="0" collapsed="false">
      <c r="A45" s="15" t="s">
        <v>1114</v>
      </c>
      <c r="B45" s="66" t="s">
        <v>508</v>
      </c>
      <c r="C45" s="66" t="s">
        <v>508</v>
      </c>
      <c r="D45" s="66" t="s">
        <v>508</v>
      </c>
      <c r="E45" s="69" t="s">
        <v>1115</v>
      </c>
      <c r="F45" s="69" t="s">
        <v>1116</v>
      </c>
    </row>
    <row r="46" customFormat="false" ht="15" hidden="false" customHeight="false" outlineLevel="0" collapsed="false">
      <c r="A46" s="15" t="s">
        <v>1117</v>
      </c>
      <c r="B46" s="66" t="s">
        <v>1118</v>
      </c>
      <c r="C46" s="66" t="s">
        <v>1118</v>
      </c>
      <c r="D46" s="66" t="s">
        <v>1118</v>
      </c>
      <c r="E46" s="66" t="s">
        <v>1118</v>
      </c>
      <c r="F46" s="66" t="s">
        <v>1118</v>
      </c>
    </row>
    <row r="48" customFormat="false" ht="15" hidden="false" customHeight="false" outlineLevel="0" collapsed="false">
      <c r="A48" s="13" t="s">
        <v>1119</v>
      </c>
    </row>
    <row r="49" customFormat="false" ht="15" hidden="false" customHeight="false" outlineLevel="0" collapsed="false">
      <c r="A49" s="18" t="s">
        <v>1120</v>
      </c>
    </row>
    <row r="51" customFormat="false" ht="15" hidden="false" customHeight="false" outlineLevel="0" collapsed="false">
      <c r="A51" s="13" t="s">
        <v>1121</v>
      </c>
    </row>
    <row r="52" customFormat="false" ht="15" hidden="false" customHeight="false" outlineLevel="0" collapsed="false">
      <c r="A52" s="14" t="s">
        <v>1122</v>
      </c>
    </row>
    <row r="53" customFormat="false" ht="15" hidden="false" customHeight="false" outlineLevel="0" collapsed="false">
      <c r="A53" s="14" t="s">
        <v>1123</v>
      </c>
    </row>
    <row r="54" customFormat="false" ht="15" hidden="false" customHeight="false" outlineLevel="0" collapsed="false">
      <c r="A54" s="14" t="s">
        <v>1124</v>
      </c>
    </row>
    <row r="56" customFormat="false" ht="15" hidden="false" customHeight="false" outlineLevel="0" collapsed="false">
      <c r="A56" s="60" t="s">
        <v>1125</v>
      </c>
    </row>
    <row r="57" customFormat="false" ht="15" hidden="false" customHeight="false" outlineLevel="0" collapsed="false">
      <c r="A57" s="2" t="s">
        <v>1126</v>
      </c>
    </row>
    <row r="59" customFormat="false" ht="15" hidden="false" customHeight="false" outlineLevel="0" collapsed="false">
      <c r="A59" s="16" t="s">
        <v>3</v>
      </c>
      <c r="B59" s="16" t="s">
        <v>1127</v>
      </c>
      <c r="C59" s="16" t="s">
        <v>1128</v>
      </c>
      <c r="D59" s="16" t="s">
        <v>1129</v>
      </c>
    </row>
    <row r="60" customFormat="false" ht="15" hidden="false" customHeight="false" outlineLevel="0" collapsed="false">
      <c r="A60" s="10" t="s">
        <v>1130</v>
      </c>
      <c r="B60" s="36" t="s">
        <v>1131</v>
      </c>
      <c r="C60" s="36" t="s">
        <v>1132</v>
      </c>
      <c r="D60" s="36" t="s">
        <v>1133</v>
      </c>
    </row>
    <row r="61" customFormat="false" ht="28.35" hidden="false" customHeight="false" outlineLevel="0" collapsed="false">
      <c r="A61" s="10" t="s">
        <v>1134</v>
      </c>
      <c r="B61" s="36" t="s">
        <v>1135</v>
      </c>
      <c r="C61" s="36" t="s">
        <v>1136</v>
      </c>
      <c r="D61" s="36" t="s">
        <v>1137</v>
      </c>
    </row>
    <row r="62" customFormat="false" ht="15" hidden="false" customHeight="false" outlineLevel="0" collapsed="false">
      <c r="A62" s="10" t="s">
        <v>1138</v>
      </c>
      <c r="B62" s="36" t="s">
        <v>1139</v>
      </c>
      <c r="C62" s="36" t="s">
        <v>1140</v>
      </c>
      <c r="D62" s="36" t="s">
        <v>1141</v>
      </c>
    </row>
    <row r="63" customFormat="false" ht="28.35" hidden="false" customHeight="false" outlineLevel="0" collapsed="false">
      <c r="A63" s="10" t="s">
        <v>1142</v>
      </c>
      <c r="B63" s="70" t="s">
        <v>1143</v>
      </c>
      <c r="C63" s="70" t="s">
        <v>1144</v>
      </c>
      <c r="D63" s="70" t="s">
        <v>1144</v>
      </c>
    </row>
    <row r="64" customFormat="false" ht="28.35" hidden="false" customHeight="false" outlineLevel="0" collapsed="false">
      <c r="A64" s="10" t="s">
        <v>1145</v>
      </c>
      <c r="B64" s="70" t="s">
        <v>1146</v>
      </c>
      <c r="C64" s="70" t="s">
        <v>1146</v>
      </c>
      <c r="D64" s="70" t="s">
        <v>1146</v>
      </c>
    </row>
    <row r="65" customFormat="false" ht="28.35" hidden="false" customHeight="false" outlineLevel="0" collapsed="false">
      <c r="A65" s="12" t="s">
        <v>1147</v>
      </c>
      <c r="B65" s="71" t="s">
        <v>1148</v>
      </c>
      <c r="C65" s="71" t="s">
        <v>1149</v>
      </c>
      <c r="D65" s="71" t="s">
        <v>1150</v>
      </c>
    </row>
    <row r="66" customFormat="false" ht="15" hidden="false" customHeight="false" outlineLevel="0" collapsed="false">
      <c r="A66" s="7" t="s">
        <v>1151</v>
      </c>
      <c r="B66" s="72" t="s">
        <v>1152</v>
      </c>
      <c r="C66" s="72" t="s">
        <v>372</v>
      </c>
      <c r="D66" s="72" t="s">
        <v>372</v>
      </c>
    </row>
    <row r="67" customFormat="false" ht="15" hidden="false" customHeight="false" outlineLevel="0" collapsed="false">
      <c r="A67" s="10" t="s">
        <v>1153</v>
      </c>
      <c r="B67" s="70" t="s">
        <v>85</v>
      </c>
      <c r="C67" s="36" t="s">
        <v>1154</v>
      </c>
      <c r="D67" s="36" t="s">
        <v>1155</v>
      </c>
    </row>
    <row r="68" customFormat="false" ht="15" hidden="false" customHeight="false" outlineLevel="0" collapsed="false">
      <c r="A68" s="10" t="s">
        <v>1156</v>
      </c>
      <c r="B68" s="36" t="s">
        <v>1157</v>
      </c>
      <c r="C68" s="36" t="s">
        <v>1158</v>
      </c>
      <c r="D68" s="36" t="s">
        <v>1159</v>
      </c>
    </row>
    <row r="69" customFormat="false" ht="15" hidden="false" customHeight="false" outlineLevel="0" collapsed="false">
      <c r="A69" s="10" t="s">
        <v>1160</v>
      </c>
      <c r="B69" s="36" t="s">
        <v>508</v>
      </c>
      <c r="C69" s="70" t="s">
        <v>1161</v>
      </c>
      <c r="D69" s="70" t="s">
        <v>1161</v>
      </c>
    </row>
    <row r="71" customFormat="false" ht="15" hidden="false" customHeight="false" outlineLevel="0" collapsed="false">
      <c r="A71" s="13" t="s">
        <v>1162</v>
      </c>
    </row>
    <row r="72" customFormat="false" ht="15" hidden="false" customHeight="false" outlineLevel="0" collapsed="false">
      <c r="A72" s="14" t="s">
        <v>1163</v>
      </c>
    </row>
    <row r="73" customFormat="false" ht="15" hidden="false" customHeight="false" outlineLevel="0" collapsed="false">
      <c r="A73" s="14" t="s">
        <v>1164</v>
      </c>
    </row>
    <row r="74" customFormat="false" ht="15" hidden="false" customHeight="false" outlineLevel="0" collapsed="false">
      <c r="A74" s="14" t="s">
        <v>1165</v>
      </c>
    </row>
    <row r="75" customFormat="false" ht="15" hidden="false" customHeight="false" outlineLevel="0" collapsed="false">
      <c r="A75" s="14" t="s">
        <v>1166</v>
      </c>
    </row>
    <row r="77" customFormat="false" ht="15" hidden="false" customHeight="false" outlineLevel="0" collapsed="false">
      <c r="A77" s="53" t="s">
        <v>1167</v>
      </c>
    </row>
    <row r="78" customFormat="false" ht="15" hidden="false" customHeight="false" outlineLevel="0" collapsed="false">
      <c r="A78" s="18" t="s">
        <v>1168</v>
      </c>
    </row>
    <row r="79" customFormat="false" ht="15" hidden="false" customHeight="false" outlineLevel="0" collapsed="false">
      <c r="A79" s="14" t="s">
        <v>1169</v>
      </c>
    </row>
    <row r="81" customFormat="false" ht="15" hidden="false" customHeight="false" outlineLevel="0" collapsed="false">
      <c r="A81" s="60" t="s">
        <v>1170</v>
      </c>
    </row>
    <row r="82" customFormat="false" ht="15" hidden="false" customHeight="false" outlineLevel="0" collapsed="false">
      <c r="A82" s="2" t="s">
        <v>1171</v>
      </c>
    </row>
    <row r="84" customFormat="false" ht="15" hidden="false" customHeight="false" outlineLevel="0" collapsed="false">
      <c r="A84" s="16" t="s">
        <v>3</v>
      </c>
      <c r="B84" s="16" t="s">
        <v>1172</v>
      </c>
      <c r="C84" s="16" t="s">
        <v>1173</v>
      </c>
      <c r="D84" s="16" t="s">
        <v>1174</v>
      </c>
      <c r="E84" s="16" t="s">
        <v>1175</v>
      </c>
      <c r="F84" s="16" t="s">
        <v>1176</v>
      </c>
      <c r="G84" s="16" t="s">
        <v>1177</v>
      </c>
      <c r="H84" s="16" t="s">
        <v>1178</v>
      </c>
      <c r="I84" s="16" t="s">
        <v>1179</v>
      </c>
      <c r="J84" s="16" t="s">
        <v>1180</v>
      </c>
      <c r="K84" s="16" t="s">
        <v>1181</v>
      </c>
    </row>
    <row r="85" customFormat="false" ht="15" hidden="false" customHeight="false" outlineLevel="0" collapsed="false">
      <c r="A85" s="15" t="s">
        <v>1182</v>
      </c>
      <c r="B85" s="66" t="s">
        <v>1183</v>
      </c>
      <c r="C85" s="69" t="s">
        <v>1184</v>
      </c>
      <c r="D85" s="69" t="s">
        <v>1185</v>
      </c>
      <c r="E85" s="69" t="s">
        <v>1186</v>
      </c>
      <c r="F85" s="69" t="s">
        <v>1187</v>
      </c>
      <c r="G85" s="69" t="s">
        <v>1188</v>
      </c>
      <c r="H85" s="69" t="s">
        <v>1189</v>
      </c>
      <c r="I85" s="69" t="s">
        <v>1190</v>
      </c>
      <c r="J85" s="69" t="s">
        <v>1191</v>
      </c>
      <c r="K85" s="69" t="s">
        <v>1192</v>
      </c>
    </row>
    <row r="86" customFormat="false" ht="15" hidden="false" customHeight="false" outlineLevel="0" collapsed="false">
      <c r="A86" s="73" t="s">
        <v>1193</v>
      </c>
      <c r="B86" s="74" t="n">
        <v>0.03</v>
      </c>
      <c r="C86" s="74" t="n">
        <v>0.04</v>
      </c>
      <c r="D86" s="74" t="n">
        <v>0.05</v>
      </c>
      <c r="E86" s="74" t="n">
        <v>0.06</v>
      </c>
      <c r="F86" s="74" t="n">
        <v>0.07</v>
      </c>
      <c r="G86" s="74" t="n">
        <v>0.08</v>
      </c>
      <c r="H86" s="74" t="n">
        <v>0.09</v>
      </c>
      <c r="I86" s="74" t="n">
        <v>0.1</v>
      </c>
      <c r="J86" s="74" t="n">
        <v>0.12</v>
      </c>
      <c r="K86" s="74" t="n">
        <v>0.15</v>
      </c>
    </row>
    <row r="87" customFormat="false" ht="15" hidden="false" customHeight="false" outlineLevel="0" collapsed="false">
      <c r="A87" s="15" t="s">
        <v>1194</v>
      </c>
      <c r="B87" s="66" t="s">
        <v>508</v>
      </c>
      <c r="C87" s="66" t="s">
        <v>1195</v>
      </c>
      <c r="D87" s="66" t="s">
        <v>1196</v>
      </c>
      <c r="E87" s="66" t="s">
        <v>1197</v>
      </c>
      <c r="F87" s="66" t="s">
        <v>1198</v>
      </c>
      <c r="G87" s="66" t="s">
        <v>1199</v>
      </c>
      <c r="H87" s="66" t="s">
        <v>1200</v>
      </c>
      <c r="I87" s="66" t="s">
        <v>1201</v>
      </c>
      <c r="J87" s="66" t="s">
        <v>1202</v>
      </c>
      <c r="K87" s="66" t="s">
        <v>1203</v>
      </c>
    </row>
    <row r="88" customFormat="false" ht="15" hidden="false" customHeight="false" outlineLevel="0" collapsed="false">
      <c r="A88" s="15" t="s">
        <v>1204</v>
      </c>
      <c r="B88" s="66" t="s">
        <v>508</v>
      </c>
      <c r="C88" s="66" t="s">
        <v>1205</v>
      </c>
      <c r="D88" s="66" t="s">
        <v>1205</v>
      </c>
      <c r="E88" s="66" t="s">
        <v>1206</v>
      </c>
      <c r="F88" s="66" t="s">
        <v>1206</v>
      </c>
      <c r="G88" s="66" t="s">
        <v>1206</v>
      </c>
      <c r="H88" s="66" t="s">
        <v>1207</v>
      </c>
      <c r="I88" s="66" t="s">
        <v>1207</v>
      </c>
      <c r="J88" s="66" t="s">
        <v>1208</v>
      </c>
      <c r="K88" s="66" t="s">
        <v>1209</v>
      </c>
    </row>
    <row r="89" customFormat="false" ht="15" hidden="false" customHeight="false" outlineLevel="0" collapsed="false">
      <c r="A89" s="15" t="s">
        <v>1210</v>
      </c>
      <c r="B89" s="66" t="s">
        <v>508</v>
      </c>
      <c r="C89" s="69" t="s">
        <v>1161</v>
      </c>
      <c r="D89" s="69" t="s">
        <v>1161</v>
      </c>
      <c r="E89" s="69" t="s">
        <v>1161</v>
      </c>
      <c r="F89" s="69" t="s">
        <v>1161</v>
      </c>
      <c r="G89" s="69" t="s">
        <v>1161</v>
      </c>
      <c r="H89" s="69" t="s">
        <v>1161</v>
      </c>
      <c r="I89" s="69" t="s">
        <v>1161</v>
      </c>
      <c r="J89" s="69" t="s">
        <v>1161</v>
      </c>
      <c r="K89" s="69" t="s">
        <v>1161</v>
      </c>
    </row>
    <row r="91" customFormat="false" ht="15" hidden="false" customHeight="false" outlineLevel="0" collapsed="false">
      <c r="A91" s="13" t="s">
        <v>1211</v>
      </c>
    </row>
    <row r="92" customFormat="false" ht="15" hidden="false" customHeight="false" outlineLevel="0" collapsed="false">
      <c r="A92" s="14" t="s">
        <v>1212</v>
      </c>
    </row>
    <row r="93" customFormat="false" ht="15" hidden="false" customHeight="false" outlineLevel="0" collapsed="false">
      <c r="A93" s="14" t="s">
        <v>1213</v>
      </c>
    </row>
    <row r="95" customFormat="false" ht="15" hidden="false" customHeight="false" outlineLevel="0" collapsed="false">
      <c r="A95" s="13" t="s">
        <v>1214</v>
      </c>
    </row>
    <row r="96" customFormat="false" ht="15" hidden="false" customHeight="false" outlineLevel="0" collapsed="false">
      <c r="A96" s="14" t="s">
        <v>1215</v>
      </c>
    </row>
    <row r="97" customFormat="false" ht="15" hidden="false" customHeight="false" outlineLevel="0" collapsed="false">
      <c r="A97" s="14" t="s">
        <v>1216</v>
      </c>
    </row>
    <row r="98" customFormat="false" ht="15" hidden="false" customHeight="false" outlineLevel="0" collapsed="false">
      <c r="A98" s="14" t="s">
        <v>1217</v>
      </c>
    </row>
    <row r="99" customFormat="false" ht="15" hidden="false" customHeight="false" outlineLevel="0" collapsed="false">
      <c r="A99" s="14" t="s">
        <v>1218</v>
      </c>
    </row>
    <row r="100" customFormat="false" ht="15" hidden="false" customHeight="false" outlineLevel="0" collapsed="false">
      <c r="A100" s="40" t="s">
        <v>1219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1220</v>
      </c>
    </row>
    <row r="3" customFormat="false" ht="15" hidden="false" customHeight="false" outlineLevel="0" collapsed="false">
      <c r="A3" s="60" t="s">
        <v>1221</v>
      </c>
    </row>
    <row r="5" customFormat="false" ht="15" hidden="false" customHeight="false" outlineLevel="0" collapsed="false">
      <c r="A5" s="3" t="s">
        <v>591</v>
      </c>
      <c r="B5" s="3" t="s">
        <v>1222</v>
      </c>
      <c r="C5" s="3" t="s">
        <v>1223</v>
      </c>
      <c r="D5" s="3" t="s">
        <v>1224</v>
      </c>
    </row>
    <row r="6" customFormat="false" ht="64.9" hidden="false" customHeight="false" outlineLevel="0" collapsed="false">
      <c r="A6" s="8" t="s">
        <v>4</v>
      </c>
      <c r="B6" s="9" t="s">
        <v>1225</v>
      </c>
      <c r="C6" s="10" t="s">
        <v>1226</v>
      </c>
      <c r="D6" s="10" t="s">
        <v>1227</v>
      </c>
    </row>
    <row r="7" customFormat="false" ht="63.4" hidden="false" customHeight="false" outlineLevel="0" collapsed="false">
      <c r="A7" s="8" t="s">
        <v>1228</v>
      </c>
      <c r="B7" s="10" t="s">
        <v>1229</v>
      </c>
      <c r="C7" s="10" t="s">
        <v>1230</v>
      </c>
      <c r="D7" s="10" t="s">
        <v>1227</v>
      </c>
    </row>
    <row r="8" customFormat="false" ht="102.95" hidden="false" customHeight="false" outlineLevel="0" collapsed="false">
      <c r="A8" s="8" t="s">
        <v>1231</v>
      </c>
      <c r="B8" s="9" t="s">
        <v>1232</v>
      </c>
      <c r="C8" s="9" t="s">
        <v>1233</v>
      </c>
      <c r="D8" s="10" t="s">
        <v>1227</v>
      </c>
    </row>
    <row r="9" customFormat="false" ht="52.2" hidden="false" customHeight="false" outlineLevel="0" collapsed="false">
      <c r="A9" s="8" t="s">
        <v>6</v>
      </c>
      <c r="B9" s="9" t="s">
        <v>1234</v>
      </c>
      <c r="C9" s="10" t="s">
        <v>1235</v>
      </c>
      <c r="D9" s="10" t="s">
        <v>1227</v>
      </c>
    </row>
    <row r="10" customFormat="false" ht="52.2" hidden="false" customHeight="false" outlineLevel="0" collapsed="false">
      <c r="A10" s="8" t="s">
        <v>7</v>
      </c>
      <c r="B10" s="9" t="s">
        <v>1236</v>
      </c>
      <c r="C10" s="9" t="s">
        <v>1237</v>
      </c>
      <c r="D10" s="10" t="s">
        <v>1227</v>
      </c>
    </row>
    <row r="11" customFormat="false" ht="77.6" hidden="false" customHeight="false" outlineLevel="0" collapsed="false">
      <c r="A11" s="8" t="s">
        <v>8</v>
      </c>
      <c r="B11" s="9" t="s">
        <v>1238</v>
      </c>
      <c r="C11" s="9" t="s">
        <v>1239</v>
      </c>
      <c r="D11" s="10" t="s">
        <v>1227</v>
      </c>
    </row>
    <row r="12" customFormat="false" ht="52.2" hidden="false" customHeight="false" outlineLevel="0" collapsed="false">
      <c r="A12" s="8" t="s">
        <v>9</v>
      </c>
      <c r="B12" s="9" t="s">
        <v>1240</v>
      </c>
      <c r="C12" s="9" t="s">
        <v>1241</v>
      </c>
      <c r="D12" s="10" t="s">
        <v>1227</v>
      </c>
    </row>
    <row r="13" customFormat="false" ht="50.7" hidden="false" customHeight="false" outlineLevel="0" collapsed="false">
      <c r="A13" s="8" t="s">
        <v>10</v>
      </c>
      <c r="B13" s="9" t="s">
        <v>1242</v>
      </c>
      <c r="C13" s="9" t="s">
        <v>1241</v>
      </c>
      <c r="D13" s="10" t="s">
        <v>1227</v>
      </c>
    </row>
    <row r="14" customFormat="false" ht="102.95" hidden="false" customHeight="false" outlineLevel="0" collapsed="false">
      <c r="A14" s="8" t="s">
        <v>11</v>
      </c>
      <c r="B14" s="9" t="s">
        <v>1243</v>
      </c>
      <c r="C14" s="10" t="s">
        <v>1244</v>
      </c>
      <c r="D14" s="10" t="s">
        <v>1227</v>
      </c>
    </row>
    <row r="15" customFormat="false" ht="39.55" hidden="false" customHeight="false" outlineLevel="0" collapsed="false">
      <c r="A15" s="8" t="s">
        <v>12</v>
      </c>
      <c r="B15" s="9" t="s">
        <v>1245</v>
      </c>
      <c r="C15" s="9" t="s">
        <v>1246</v>
      </c>
      <c r="D15" s="10" t="s">
        <v>1227</v>
      </c>
    </row>
    <row r="16" customFormat="false" ht="26.85" hidden="false" customHeight="false" outlineLevel="0" collapsed="false">
      <c r="A16" s="8" t="s">
        <v>13</v>
      </c>
      <c r="B16" s="9" t="s">
        <v>1247</v>
      </c>
      <c r="C16" s="9" t="s">
        <v>1248</v>
      </c>
      <c r="D16" s="10" t="s">
        <v>1227</v>
      </c>
    </row>
    <row r="17" customFormat="false" ht="77.6" hidden="false" customHeight="false" outlineLevel="0" collapsed="false">
      <c r="A17" s="8" t="s">
        <v>14</v>
      </c>
      <c r="B17" s="10" t="s">
        <v>1249</v>
      </c>
      <c r="C17" s="9" t="s">
        <v>1241</v>
      </c>
      <c r="D17" s="10" t="s">
        <v>1227</v>
      </c>
    </row>
    <row r="18" customFormat="false" ht="90.25" hidden="false" customHeight="false" outlineLevel="0" collapsed="false">
      <c r="A18" s="8" t="s">
        <v>15</v>
      </c>
      <c r="B18" s="9" t="s">
        <v>1250</v>
      </c>
      <c r="C18" s="9" t="s">
        <v>1237</v>
      </c>
      <c r="D18" s="10" t="s">
        <v>1227</v>
      </c>
    </row>
    <row r="19" customFormat="false" ht="39.55" hidden="false" customHeight="false" outlineLevel="0" collapsed="false">
      <c r="A19" s="8" t="s">
        <v>16</v>
      </c>
      <c r="B19" s="9" t="s">
        <v>1251</v>
      </c>
      <c r="C19" s="9" t="s">
        <v>1252</v>
      </c>
      <c r="D19" s="10" t="s">
        <v>1227</v>
      </c>
    </row>
    <row r="20" customFormat="false" ht="39.55" hidden="false" customHeight="false" outlineLevel="0" collapsed="false">
      <c r="A20" s="8" t="s">
        <v>17</v>
      </c>
      <c r="B20" s="10" t="s">
        <v>1253</v>
      </c>
      <c r="C20" s="9" t="s">
        <v>1241</v>
      </c>
      <c r="D20" s="10" t="s">
        <v>1227</v>
      </c>
    </row>
    <row r="21" customFormat="false" ht="15" hidden="false" customHeight="false" outlineLevel="0" collapsed="false">
      <c r="A21" s="8" t="s">
        <v>18</v>
      </c>
      <c r="B21" s="9" t="s">
        <v>1254</v>
      </c>
      <c r="C21" s="9" t="s">
        <v>1241</v>
      </c>
      <c r="D21" s="10" t="s">
        <v>1227</v>
      </c>
    </row>
    <row r="22" customFormat="false" ht="15" hidden="false" customHeight="false" outlineLevel="0" collapsed="false">
      <c r="A22" s="8" t="s">
        <v>19</v>
      </c>
      <c r="B22" s="9" t="s">
        <v>1255</v>
      </c>
      <c r="C22" s="9" t="s">
        <v>1241</v>
      </c>
      <c r="D22" s="10" t="s">
        <v>1227</v>
      </c>
    </row>
    <row r="23" customFormat="false" ht="26.85" hidden="false" customHeight="false" outlineLevel="0" collapsed="false">
      <c r="A23" s="8" t="s">
        <v>20</v>
      </c>
      <c r="B23" s="10" t="s">
        <v>1256</v>
      </c>
      <c r="C23" s="9" t="s">
        <v>1241</v>
      </c>
      <c r="D23" s="10" t="s">
        <v>1227</v>
      </c>
    </row>
    <row r="24" customFormat="false" ht="26.85" hidden="false" customHeight="false" outlineLevel="0" collapsed="false">
      <c r="A24" s="8" t="s">
        <v>1257</v>
      </c>
      <c r="B24" s="9" t="s">
        <v>1258</v>
      </c>
      <c r="C24" s="9" t="s">
        <v>1259</v>
      </c>
      <c r="D24" s="10" t="s">
        <v>1227</v>
      </c>
    </row>
    <row r="25" customFormat="false" ht="64.9" hidden="false" customHeight="false" outlineLevel="0" collapsed="false">
      <c r="A25" s="8" t="s">
        <v>792</v>
      </c>
      <c r="B25" s="9" t="s">
        <v>1260</v>
      </c>
      <c r="C25" s="10" t="s">
        <v>1261</v>
      </c>
      <c r="D25" s="10" t="s">
        <v>1227</v>
      </c>
    </row>
    <row r="26" customFormat="false" ht="52.2" hidden="false" customHeight="false" outlineLevel="0" collapsed="false">
      <c r="A26" s="8" t="s">
        <v>1262</v>
      </c>
      <c r="B26" s="9" t="s">
        <v>1263</v>
      </c>
      <c r="C26" s="10" t="s">
        <v>1264</v>
      </c>
      <c r="D26" s="10" t="s">
        <v>1227</v>
      </c>
    </row>
    <row r="27" customFormat="false" ht="64.9" hidden="false" customHeight="false" outlineLevel="0" collapsed="false">
      <c r="A27" s="8" t="s">
        <v>22</v>
      </c>
      <c r="B27" s="10" t="s">
        <v>1265</v>
      </c>
      <c r="C27" s="9" t="s">
        <v>1241</v>
      </c>
      <c r="D27" s="10" t="s">
        <v>1227</v>
      </c>
    </row>
    <row r="29" customFormat="false" ht="15" hidden="false" customHeight="false" outlineLevel="0" collapsed="false">
      <c r="A29" s="60" t="s">
        <v>1266</v>
      </c>
    </row>
    <row r="30" customFormat="false" ht="15" hidden="false" customHeight="false" outlineLevel="0" collapsed="false">
      <c r="A30" s="3" t="s">
        <v>1267</v>
      </c>
      <c r="B30" s="3" t="s">
        <v>591</v>
      </c>
      <c r="C30" s="3" t="s">
        <v>775</v>
      </c>
      <c r="D30" s="3" t="s">
        <v>1268</v>
      </c>
    </row>
    <row r="31" customFormat="false" ht="25.35" hidden="false" customHeight="false" outlineLevel="0" collapsed="false">
      <c r="A31" s="75" t="s">
        <v>1269</v>
      </c>
      <c r="B31" s="75" t="s">
        <v>621</v>
      </c>
      <c r="C31" s="11" t="s">
        <v>1270</v>
      </c>
      <c r="D31" s="11" t="s">
        <v>1271</v>
      </c>
    </row>
    <row r="32" customFormat="false" ht="26.85" hidden="false" customHeight="false" outlineLevel="0" collapsed="false">
      <c r="A32" s="75" t="s">
        <v>1269</v>
      </c>
      <c r="B32" s="75" t="s">
        <v>4</v>
      </c>
      <c r="C32" s="11" t="s">
        <v>1272</v>
      </c>
      <c r="D32" s="11" t="s">
        <v>1273</v>
      </c>
    </row>
    <row r="33" customFormat="false" ht="15" hidden="false" customHeight="false" outlineLevel="0" collapsed="false">
      <c r="A33" s="75" t="s">
        <v>1274</v>
      </c>
      <c r="B33" s="75" t="s">
        <v>6</v>
      </c>
      <c r="C33" s="12" t="s">
        <v>1275</v>
      </c>
      <c r="D33" s="12" t="s">
        <v>1276</v>
      </c>
    </row>
    <row r="34" customFormat="false" ht="15" hidden="false" customHeight="false" outlineLevel="0" collapsed="false">
      <c r="A34" s="8" t="s">
        <v>1277</v>
      </c>
      <c r="B34" s="8" t="s">
        <v>621</v>
      </c>
      <c r="C34" s="9" t="s">
        <v>1278</v>
      </c>
      <c r="D34" s="9" t="s">
        <v>1279</v>
      </c>
    </row>
    <row r="35" customFormat="false" ht="15" hidden="false" customHeight="false" outlineLevel="0" collapsed="false">
      <c r="A35" s="8" t="s">
        <v>1277</v>
      </c>
      <c r="B35" s="8" t="s">
        <v>4</v>
      </c>
      <c r="C35" s="10" t="s">
        <v>1280</v>
      </c>
      <c r="D35" s="9" t="s">
        <v>1281</v>
      </c>
    </row>
    <row r="36" customFormat="false" ht="26.85" hidden="false" customHeight="false" outlineLevel="0" collapsed="false">
      <c r="A36" s="8" t="s">
        <v>1282</v>
      </c>
      <c r="B36" s="8" t="s">
        <v>4</v>
      </c>
      <c r="C36" s="9" t="s">
        <v>1283</v>
      </c>
      <c r="D36" s="9" t="s">
        <v>1284</v>
      </c>
    </row>
    <row r="37" customFormat="false" ht="26.85" hidden="false" customHeight="false" outlineLevel="0" collapsed="false">
      <c r="A37" s="8" t="s">
        <v>1282</v>
      </c>
      <c r="B37" s="8" t="s">
        <v>4</v>
      </c>
      <c r="C37" s="10" t="s">
        <v>1285</v>
      </c>
      <c r="D37" s="9" t="s">
        <v>1286</v>
      </c>
    </row>
    <row r="38" customFormat="false" ht="39.55" hidden="false" customHeight="false" outlineLevel="0" collapsed="false">
      <c r="A38" s="75" t="s">
        <v>1269</v>
      </c>
      <c r="B38" s="75" t="s">
        <v>14</v>
      </c>
      <c r="C38" s="11" t="s">
        <v>1287</v>
      </c>
      <c r="D38" s="11" t="s">
        <v>1288</v>
      </c>
    </row>
    <row r="39" customFormat="false" ht="15" hidden="false" customHeight="false" outlineLevel="0" collapsed="false">
      <c r="A39" s="8" t="s">
        <v>1289</v>
      </c>
      <c r="B39" s="8" t="s">
        <v>14</v>
      </c>
      <c r="C39" s="9" t="s">
        <v>1290</v>
      </c>
      <c r="D39" s="9" t="s">
        <v>1291</v>
      </c>
    </row>
    <row r="40" customFormat="false" ht="15" hidden="false" customHeight="false" outlineLevel="0" collapsed="false">
      <c r="A40" s="8" t="s">
        <v>1282</v>
      </c>
      <c r="B40" s="8" t="s">
        <v>7</v>
      </c>
      <c r="C40" s="9" t="s">
        <v>1292</v>
      </c>
      <c r="D40" s="10" t="s">
        <v>1293</v>
      </c>
    </row>
    <row r="41" customFormat="false" ht="15" hidden="false" customHeight="false" outlineLevel="0" collapsed="false">
      <c r="A41" s="8" t="s">
        <v>1294</v>
      </c>
      <c r="B41" s="8" t="s">
        <v>9</v>
      </c>
      <c r="C41" s="10" t="s">
        <v>1295</v>
      </c>
      <c r="D41" s="9" t="s">
        <v>1296</v>
      </c>
    </row>
    <row r="42" customFormat="false" ht="26.85" hidden="false" customHeight="false" outlineLevel="0" collapsed="false">
      <c r="A42" s="75" t="s">
        <v>1269</v>
      </c>
      <c r="B42" s="75" t="s">
        <v>792</v>
      </c>
      <c r="C42" s="11" t="s">
        <v>1297</v>
      </c>
      <c r="D42" s="11" t="s">
        <v>1298</v>
      </c>
    </row>
    <row r="43" customFormat="false" ht="26.85" hidden="false" customHeight="false" outlineLevel="0" collapsed="false">
      <c r="A43" s="8" t="s">
        <v>1294</v>
      </c>
      <c r="B43" s="8" t="s">
        <v>1231</v>
      </c>
      <c r="C43" s="9" t="s">
        <v>1299</v>
      </c>
      <c r="D43" s="9" t="s">
        <v>1300</v>
      </c>
    </row>
    <row r="44" customFormat="false" ht="26.85" hidden="false" customHeight="false" outlineLevel="0" collapsed="false">
      <c r="A44" s="8" t="s">
        <v>1289</v>
      </c>
      <c r="B44" s="8" t="s">
        <v>9</v>
      </c>
      <c r="C44" s="9" t="s">
        <v>1301</v>
      </c>
      <c r="D44" s="9" t="s">
        <v>1302</v>
      </c>
    </row>
    <row r="45" customFormat="false" ht="15" hidden="false" customHeight="false" outlineLevel="0" collapsed="false">
      <c r="A45" s="8" t="s">
        <v>1289</v>
      </c>
      <c r="B45" s="8" t="s">
        <v>8</v>
      </c>
      <c r="C45" s="9" t="s">
        <v>1303</v>
      </c>
      <c r="D45" s="9" t="s">
        <v>1304</v>
      </c>
    </row>
    <row r="47" customFormat="false" ht="15" hidden="false" customHeight="false" outlineLevel="0" collapsed="false">
      <c r="A47" s="60" t="s">
        <v>1305</v>
      </c>
    </row>
    <row r="48" customFormat="false" ht="15" hidden="false" customHeight="false" outlineLevel="0" collapsed="false">
      <c r="A48" s="3" t="s">
        <v>1306</v>
      </c>
      <c r="B48" s="3" t="s">
        <v>591</v>
      </c>
      <c r="C48" s="3" t="s">
        <v>1307</v>
      </c>
      <c r="D48" s="3" t="s">
        <v>1308</v>
      </c>
    </row>
    <row r="49" customFormat="false" ht="26.85" hidden="false" customHeight="false" outlineLevel="0" collapsed="false">
      <c r="A49" s="15" t="s">
        <v>1309</v>
      </c>
      <c r="B49" s="8" t="s">
        <v>621</v>
      </c>
      <c r="C49" s="10" t="s">
        <v>1310</v>
      </c>
      <c r="D49" s="10" t="s">
        <v>1311</v>
      </c>
    </row>
    <row r="50" customFormat="false" ht="15" hidden="false" customHeight="false" outlineLevel="0" collapsed="false">
      <c r="A50" s="15" t="s">
        <v>1309</v>
      </c>
      <c r="B50" s="8" t="s">
        <v>7</v>
      </c>
      <c r="C50" s="9" t="s">
        <v>1312</v>
      </c>
      <c r="D50" s="9" t="s">
        <v>1313</v>
      </c>
    </row>
    <row r="51" customFormat="false" ht="15" hidden="false" customHeight="false" outlineLevel="0" collapsed="false">
      <c r="A51" s="15" t="s">
        <v>1314</v>
      </c>
      <c r="B51" s="8" t="s">
        <v>6</v>
      </c>
      <c r="C51" s="9" t="s">
        <v>1315</v>
      </c>
      <c r="D51" s="9" t="s">
        <v>1316</v>
      </c>
    </row>
    <row r="52" customFormat="false" ht="15" hidden="false" customHeight="false" outlineLevel="0" collapsed="false">
      <c r="A52" s="15" t="s">
        <v>1314</v>
      </c>
      <c r="B52" s="8" t="s">
        <v>7</v>
      </c>
      <c r="C52" s="9" t="s">
        <v>1317</v>
      </c>
      <c r="D52" s="9" t="s">
        <v>1318</v>
      </c>
    </row>
    <row r="53" customFormat="false" ht="15" hidden="false" customHeight="false" outlineLevel="0" collapsed="false">
      <c r="A53" s="15" t="s">
        <v>1319</v>
      </c>
      <c r="B53" s="8" t="s">
        <v>621</v>
      </c>
      <c r="C53" s="9" t="s">
        <v>1320</v>
      </c>
      <c r="D53" s="10" t="s">
        <v>1321</v>
      </c>
    </row>
    <row r="54" customFormat="false" ht="15" hidden="false" customHeight="false" outlineLevel="0" collapsed="false">
      <c r="A54" s="15" t="s">
        <v>1319</v>
      </c>
      <c r="B54" s="8" t="s">
        <v>6</v>
      </c>
      <c r="C54" s="9" t="s">
        <v>1322</v>
      </c>
      <c r="D54" s="10" t="s">
        <v>1323</v>
      </c>
    </row>
    <row r="55" customFormat="false" ht="26.85" hidden="false" customHeight="false" outlineLevel="0" collapsed="false">
      <c r="A55" s="15" t="s">
        <v>1309</v>
      </c>
      <c r="B55" s="8" t="s">
        <v>4</v>
      </c>
      <c r="C55" s="9" t="s">
        <v>1324</v>
      </c>
      <c r="D55" s="9" t="s">
        <v>1325</v>
      </c>
    </row>
    <row r="56" customFormat="false" ht="15" hidden="false" customHeight="false" outlineLevel="0" collapsed="false">
      <c r="A56" s="15" t="s">
        <v>1319</v>
      </c>
      <c r="B56" s="8" t="s">
        <v>4</v>
      </c>
      <c r="C56" s="9" t="s">
        <v>1326</v>
      </c>
      <c r="D56" s="9" t="s">
        <v>1327</v>
      </c>
    </row>
    <row r="57" customFormat="false" ht="15" hidden="false" customHeight="false" outlineLevel="0" collapsed="false">
      <c r="A57" s="15" t="s">
        <v>1319</v>
      </c>
      <c r="B57" s="8" t="s">
        <v>4</v>
      </c>
      <c r="C57" s="9" t="s">
        <v>1328</v>
      </c>
      <c r="D57" s="9" t="s">
        <v>1329</v>
      </c>
    </row>
    <row r="58" customFormat="false" ht="15" hidden="false" customHeight="false" outlineLevel="0" collapsed="false">
      <c r="A58" s="15" t="s">
        <v>1319</v>
      </c>
      <c r="B58" s="8" t="s">
        <v>7</v>
      </c>
      <c r="C58" s="9" t="s">
        <v>1330</v>
      </c>
      <c r="D58" s="9" t="s">
        <v>1331</v>
      </c>
    </row>
    <row r="59" customFormat="false" ht="15" hidden="false" customHeight="false" outlineLevel="0" collapsed="false">
      <c r="A59" s="15" t="s">
        <v>1332</v>
      </c>
      <c r="B59" s="8" t="s">
        <v>7</v>
      </c>
      <c r="C59" s="9" t="s">
        <v>1333</v>
      </c>
      <c r="D59" s="9" t="s">
        <v>1334</v>
      </c>
    </row>
    <row r="60" customFormat="false" ht="15" hidden="false" customHeight="false" outlineLevel="0" collapsed="false">
      <c r="A60" s="15" t="s">
        <v>1332</v>
      </c>
      <c r="B60" s="8" t="s">
        <v>1335</v>
      </c>
      <c r="C60" s="9" t="s">
        <v>1336</v>
      </c>
      <c r="D60" s="9" t="s">
        <v>1337</v>
      </c>
    </row>
    <row r="61" customFormat="false" ht="26.85" hidden="false" customHeight="false" outlineLevel="0" collapsed="false">
      <c r="A61" s="15" t="s">
        <v>1309</v>
      </c>
      <c r="B61" s="8" t="s">
        <v>8</v>
      </c>
      <c r="C61" s="9" t="s">
        <v>1338</v>
      </c>
      <c r="D61" s="9" t="s">
        <v>1339</v>
      </c>
    </row>
    <row r="62" customFormat="false" ht="15" hidden="false" customHeight="false" outlineLevel="0" collapsed="false">
      <c r="A62" s="15" t="s">
        <v>1314</v>
      </c>
      <c r="B62" s="8" t="s">
        <v>8</v>
      </c>
      <c r="C62" s="9" t="s">
        <v>1340</v>
      </c>
      <c r="D62" s="9" t="s">
        <v>1341</v>
      </c>
    </row>
    <row r="63" customFormat="false" ht="15" hidden="false" customHeight="false" outlineLevel="0" collapsed="false">
      <c r="A63" s="15" t="s">
        <v>1314</v>
      </c>
      <c r="B63" s="8" t="s">
        <v>9</v>
      </c>
      <c r="C63" s="9" t="s">
        <v>1342</v>
      </c>
      <c r="D63" s="9" t="s">
        <v>1343</v>
      </c>
    </row>
    <row r="64" customFormat="false" ht="15" hidden="false" customHeight="false" outlineLevel="0" collapsed="false">
      <c r="A64" s="15" t="s">
        <v>1319</v>
      </c>
      <c r="B64" s="8" t="s">
        <v>9</v>
      </c>
      <c r="C64" s="9" t="s">
        <v>1344</v>
      </c>
      <c r="D64" s="9" t="s">
        <v>1345</v>
      </c>
    </row>
    <row r="65" customFormat="false" ht="15" hidden="false" customHeight="false" outlineLevel="0" collapsed="false">
      <c r="A65" s="15" t="s">
        <v>1332</v>
      </c>
      <c r="B65" s="8" t="s">
        <v>9</v>
      </c>
      <c r="C65" s="9" t="s">
        <v>1346</v>
      </c>
      <c r="D65" s="9" t="s">
        <v>1347</v>
      </c>
    </row>
    <row r="66" customFormat="false" ht="26.85" hidden="false" customHeight="false" outlineLevel="0" collapsed="false">
      <c r="A66" s="15" t="s">
        <v>1309</v>
      </c>
      <c r="B66" s="8" t="s">
        <v>10</v>
      </c>
      <c r="C66" s="10" t="s">
        <v>1348</v>
      </c>
      <c r="D66" s="10" t="s">
        <v>1349</v>
      </c>
    </row>
    <row r="67" customFormat="false" ht="15" hidden="false" customHeight="false" outlineLevel="0" collapsed="false">
      <c r="A67" s="15" t="s">
        <v>1314</v>
      </c>
      <c r="B67" s="8" t="s">
        <v>10</v>
      </c>
      <c r="C67" s="9" t="s">
        <v>1350</v>
      </c>
      <c r="D67" s="10" t="s">
        <v>1351</v>
      </c>
    </row>
    <row r="68" customFormat="false" ht="15" hidden="false" customHeight="false" outlineLevel="0" collapsed="false">
      <c r="A68" s="15" t="s">
        <v>1319</v>
      </c>
      <c r="B68" s="8" t="s">
        <v>10</v>
      </c>
      <c r="C68" s="9" t="s">
        <v>1352</v>
      </c>
      <c r="D68" s="9" t="s">
        <v>1353</v>
      </c>
    </row>
    <row r="69" customFormat="false" ht="15" hidden="false" customHeight="false" outlineLevel="0" collapsed="false">
      <c r="A69" s="15" t="s">
        <v>1309</v>
      </c>
      <c r="B69" s="8" t="s">
        <v>11</v>
      </c>
      <c r="C69" s="9" t="s">
        <v>1354</v>
      </c>
      <c r="D69" s="10" t="s">
        <v>1355</v>
      </c>
    </row>
    <row r="70" customFormat="false" ht="15" hidden="false" customHeight="false" outlineLevel="0" collapsed="false">
      <c r="A70" s="15" t="s">
        <v>1314</v>
      </c>
      <c r="B70" s="8" t="s">
        <v>11</v>
      </c>
      <c r="C70" s="10" t="s">
        <v>1356</v>
      </c>
      <c r="D70" s="10" t="s">
        <v>1357</v>
      </c>
    </row>
    <row r="71" customFormat="false" ht="15" hidden="false" customHeight="false" outlineLevel="0" collapsed="false">
      <c r="A71" s="15" t="s">
        <v>1314</v>
      </c>
      <c r="B71" s="8" t="s">
        <v>11</v>
      </c>
      <c r="C71" s="9" t="s">
        <v>1358</v>
      </c>
      <c r="D71" s="10" t="s">
        <v>1359</v>
      </c>
    </row>
    <row r="72" customFormat="false" ht="15" hidden="false" customHeight="false" outlineLevel="0" collapsed="false">
      <c r="A72" s="15" t="s">
        <v>1319</v>
      </c>
      <c r="B72" s="8" t="s">
        <v>11</v>
      </c>
      <c r="C72" s="9" t="s">
        <v>1360</v>
      </c>
      <c r="D72" s="9" t="s">
        <v>1361</v>
      </c>
    </row>
    <row r="73" customFormat="false" ht="15" hidden="false" customHeight="false" outlineLevel="0" collapsed="false">
      <c r="A73" s="15" t="s">
        <v>1332</v>
      </c>
      <c r="B73" s="8" t="s">
        <v>11</v>
      </c>
      <c r="C73" s="9" t="s">
        <v>1362</v>
      </c>
      <c r="D73" s="9" t="s">
        <v>1363</v>
      </c>
    </row>
    <row r="74" customFormat="false" ht="15" hidden="false" customHeight="false" outlineLevel="0" collapsed="false">
      <c r="A74" s="15" t="s">
        <v>1314</v>
      </c>
      <c r="B74" s="8" t="s">
        <v>12</v>
      </c>
      <c r="C74" s="10" t="s">
        <v>1364</v>
      </c>
      <c r="D74" s="9" t="s">
        <v>1365</v>
      </c>
    </row>
    <row r="75" customFormat="false" ht="15" hidden="false" customHeight="false" outlineLevel="0" collapsed="false">
      <c r="A75" s="15" t="s">
        <v>1319</v>
      </c>
      <c r="B75" s="8" t="s">
        <v>12</v>
      </c>
      <c r="C75" s="9" t="s">
        <v>1366</v>
      </c>
      <c r="D75" s="9" t="s">
        <v>1367</v>
      </c>
    </row>
    <row r="76" customFormat="false" ht="15" hidden="false" customHeight="false" outlineLevel="0" collapsed="false">
      <c r="A76" s="15" t="s">
        <v>1332</v>
      </c>
      <c r="B76" s="8" t="s">
        <v>12</v>
      </c>
      <c r="C76" s="9" t="s">
        <v>1368</v>
      </c>
      <c r="D76" s="9" t="s">
        <v>1369</v>
      </c>
    </row>
    <row r="77" customFormat="false" ht="15" hidden="false" customHeight="false" outlineLevel="0" collapsed="false">
      <c r="A77" s="15" t="s">
        <v>1309</v>
      </c>
      <c r="B77" s="8" t="s">
        <v>13</v>
      </c>
      <c r="C77" s="9" t="s">
        <v>1370</v>
      </c>
      <c r="D77" s="9" t="s">
        <v>1371</v>
      </c>
    </row>
    <row r="78" customFormat="false" ht="15" hidden="false" customHeight="false" outlineLevel="0" collapsed="false">
      <c r="A78" s="15" t="s">
        <v>1314</v>
      </c>
      <c r="B78" s="8" t="s">
        <v>13</v>
      </c>
      <c r="C78" s="9" t="s">
        <v>1372</v>
      </c>
      <c r="D78" s="9" t="s">
        <v>1373</v>
      </c>
    </row>
    <row r="79" customFormat="false" ht="15" hidden="false" customHeight="false" outlineLevel="0" collapsed="false">
      <c r="A79" s="15" t="s">
        <v>1319</v>
      </c>
      <c r="B79" s="8" t="s">
        <v>13</v>
      </c>
      <c r="C79" s="9" t="s">
        <v>1374</v>
      </c>
      <c r="D79" s="9" t="s">
        <v>1375</v>
      </c>
    </row>
    <row r="80" customFormat="false" ht="15" hidden="false" customHeight="false" outlineLevel="0" collapsed="false">
      <c r="A80" s="15" t="s">
        <v>1319</v>
      </c>
      <c r="B80" s="8" t="s">
        <v>13</v>
      </c>
      <c r="C80" s="9" t="s">
        <v>1376</v>
      </c>
      <c r="D80" s="9" t="s">
        <v>1377</v>
      </c>
    </row>
    <row r="81" customFormat="false" ht="15" hidden="false" customHeight="false" outlineLevel="0" collapsed="false">
      <c r="A81" s="15" t="s">
        <v>1309</v>
      </c>
      <c r="B81" s="8" t="s">
        <v>14</v>
      </c>
      <c r="C81" s="9" t="s">
        <v>1378</v>
      </c>
      <c r="D81" s="9" t="s">
        <v>1379</v>
      </c>
    </row>
    <row r="82" customFormat="false" ht="15" hidden="false" customHeight="false" outlineLevel="0" collapsed="false">
      <c r="A82" s="15" t="s">
        <v>1314</v>
      </c>
      <c r="B82" s="8" t="s">
        <v>14</v>
      </c>
      <c r="C82" s="9" t="s">
        <v>1380</v>
      </c>
      <c r="D82" s="9" t="s">
        <v>1381</v>
      </c>
    </row>
    <row r="83" customFormat="false" ht="15" hidden="false" customHeight="false" outlineLevel="0" collapsed="false">
      <c r="A83" s="15" t="s">
        <v>1319</v>
      </c>
      <c r="B83" s="8" t="s">
        <v>14</v>
      </c>
      <c r="C83" s="9" t="s">
        <v>1382</v>
      </c>
      <c r="D83" s="9" t="s">
        <v>1383</v>
      </c>
    </row>
    <row r="84" customFormat="false" ht="15" hidden="false" customHeight="false" outlineLevel="0" collapsed="false">
      <c r="A84" s="15" t="s">
        <v>1319</v>
      </c>
      <c r="B84" s="8" t="s">
        <v>14</v>
      </c>
      <c r="C84" s="9" t="s">
        <v>1384</v>
      </c>
      <c r="D84" s="9" t="s">
        <v>1385</v>
      </c>
    </row>
    <row r="85" customFormat="false" ht="15" hidden="false" customHeight="false" outlineLevel="0" collapsed="false">
      <c r="A85" s="15" t="s">
        <v>1309</v>
      </c>
      <c r="B85" s="8" t="s">
        <v>15</v>
      </c>
      <c r="C85" s="9" t="s">
        <v>1386</v>
      </c>
      <c r="D85" s="9" t="s">
        <v>1387</v>
      </c>
    </row>
    <row r="86" customFormat="false" ht="15" hidden="false" customHeight="false" outlineLevel="0" collapsed="false">
      <c r="A86" s="15" t="s">
        <v>1314</v>
      </c>
      <c r="B86" s="8" t="s">
        <v>15</v>
      </c>
      <c r="C86" s="9" t="s">
        <v>1388</v>
      </c>
      <c r="D86" s="9" t="s">
        <v>1389</v>
      </c>
    </row>
    <row r="87" customFormat="false" ht="15" hidden="false" customHeight="false" outlineLevel="0" collapsed="false">
      <c r="A87" s="15" t="s">
        <v>1319</v>
      </c>
      <c r="B87" s="8" t="s">
        <v>15</v>
      </c>
      <c r="C87" s="9" t="s">
        <v>1390</v>
      </c>
      <c r="D87" s="9" t="s">
        <v>1391</v>
      </c>
    </row>
    <row r="88" customFormat="false" ht="15" hidden="false" customHeight="false" outlineLevel="0" collapsed="false">
      <c r="A88" s="15" t="s">
        <v>1319</v>
      </c>
      <c r="B88" s="8" t="s">
        <v>15</v>
      </c>
      <c r="C88" s="9" t="s">
        <v>1392</v>
      </c>
      <c r="D88" s="9" t="s">
        <v>1393</v>
      </c>
    </row>
    <row r="89" customFormat="false" ht="15" hidden="false" customHeight="false" outlineLevel="0" collapsed="false">
      <c r="A89" s="15" t="s">
        <v>1332</v>
      </c>
      <c r="B89" s="8" t="s">
        <v>15</v>
      </c>
      <c r="C89" s="9" t="s">
        <v>1394</v>
      </c>
      <c r="D89" s="10" t="s">
        <v>508</v>
      </c>
    </row>
    <row r="90" customFormat="false" ht="15" hidden="false" customHeight="false" outlineLevel="0" collapsed="false">
      <c r="A90" s="15" t="s">
        <v>1314</v>
      </c>
      <c r="B90" s="8" t="s">
        <v>16</v>
      </c>
      <c r="C90" s="9" t="s">
        <v>1395</v>
      </c>
      <c r="D90" s="9" t="s">
        <v>1396</v>
      </c>
    </row>
    <row r="91" customFormat="false" ht="15" hidden="false" customHeight="false" outlineLevel="0" collapsed="false">
      <c r="A91" s="15" t="s">
        <v>1319</v>
      </c>
      <c r="B91" s="8" t="s">
        <v>16</v>
      </c>
      <c r="C91" s="9" t="s">
        <v>1397</v>
      </c>
      <c r="D91" s="9" t="s">
        <v>1398</v>
      </c>
    </row>
    <row r="92" customFormat="false" ht="15" hidden="false" customHeight="false" outlineLevel="0" collapsed="false">
      <c r="A92" s="15" t="s">
        <v>1332</v>
      </c>
      <c r="B92" s="8" t="s">
        <v>16</v>
      </c>
      <c r="C92" s="9" t="s">
        <v>1399</v>
      </c>
      <c r="D92" s="9" t="s">
        <v>1400</v>
      </c>
    </row>
    <row r="93" customFormat="false" ht="15" hidden="false" customHeight="false" outlineLevel="0" collapsed="false">
      <c r="A93" s="15" t="s">
        <v>1314</v>
      </c>
      <c r="B93" s="8" t="s">
        <v>17</v>
      </c>
      <c r="C93" s="9" t="s">
        <v>1401</v>
      </c>
      <c r="D93" s="10" t="s">
        <v>1402</v>
      </c>
    </row>
    <row r="94" customFormat="false" ht="15" hidden="false" customHeight="false" outlineLevel="0" collapsed="false">
      <c r="A94" s="15" t="s">
        <v>1314</v>
      </c>
      <c r="B94" s="8" t="s">
        <v>17</v>
      </c>
      <c r="C94" s="9" t="s">
        <v>1403</v>
      </c>
      <c r="D94" s="9" t="s">
        <v>1404</v>
      </c>
    </row>
    <row r="95" customFormat="false" ht="15" hidden="false" customHeight="false" outlineLevel="0" collapsed="false">
      <c r="A95" s="15" t="s">
        <v>1319</v>
      </c>
      <c r="B95" s="8" t="s">
        <v>17</v>
      </c>
      <c r="C95" s="9" t="s">
        <v>1405</v>
      </c>
      <c r="D95" s="9" t="s">
        <v>1406</v>
      </c>
    </row>
    <row r="96" customFormat="false" ht="15" hidden="false" customHeight="false" outlineLevel="0" collapsed="false">
      <c r="A96" s="15" t="s">
        <v>1314</v>
      </c>
      <c r="B96" s="8" t="s">
        <v>18</v>
      </c>
      <c r="C96" s="10" t="s">
        <v>1407</v>
      </c>
      <c r="D96" s="10" t="s">
        <v>1408</v>
      </c>
    </row>
    <row r="97" customFormat="false" ht="15" hidden="false" customHeight="false" outlineLevel="0" collapsed="false">
      <c r="A97" s="15" t="s">
        <v>1319</v>
      </c>
      <c r="B97" s="8" t="s">
        <v>18</v>
      </c>
      <c r="C97" s="9" t="s">
        <v>1409</v>
      </c>
      <c r="D97" s="10" t="s">
        <v>508</v>
      </c>
    </row>
    <row r="98" customFormat="false" ht="15" hidden="false" customHeight="false" outlineLevel="0" collapsed="false">
      <c r="A98" s="15" t="s">
        <v>1314</v>
      </c>
      <c r="B98" s="8" t="s">
        <v>19</v>
      </c>
      <c r="C98" s="10" t="s">
        <v>1410</v>
      </c>
      <c r="D98" s="9" t="s">
        <v>1411</v>
      </c>
    </row>
    <row r="99" customFormat="false" ht="15" hidden="false" customHeight="false" outlineLevel="0" collapsed="false">
      <c r="A99" s="15" t="s">
        <v>1319</v>
      </c>
      <c r="B99" s="8" t="s">
        <v>19</v>
      </c>
      <c r="C99" s="9" t="s">
        <v>1412</v>
      </c>
      <c r="D99" s="10" t="s">
        <v>508</v>
      </c>
    </row>
    <row r="100" customFormat="false" ht="26.85" hidden="false" customHeight="false" outlineLevel="0" collapsed="false">
      <c r="A100" s="15" t="s">
        <v>1309</v>
      </c>
      <c r="B100" s="8" t="s">
        <v>20</v>
      </c>
      <c r="C100" s="9" t="s">
        <v>1413</v>
      </c>
      <c r="D100" s="10" t="s">
        <v>1414</v>
      </c>
    </row>
    <row r="101" customFormat="false" ht="15" hidden="false" customHeight="false" outlineLevel="0" collapsed="false">
      <c r="A101" s="15" t="s">
        <v>1314</v>
      </c>
      <c r="B101" s="8" t="s">
        <v>20</v>
      </c>
      <c r="C101" s="9" t="s">
        <v>1415</v>
      </c>
      <c r="D101" s="9" t="s">
        <v>1416</v>
      </c>
    </row>
    <row r="102" customFormat="false" ht="15" hidden="false" customHeight="false" outlineLevel="0" collapsed="false">
      <c r="A102" s="15" t="s">
        <v>1314</v>
      </c>
      <c r="B102" s="8" t="s">
        <v>20</v>
      </c>
      <c r="C102" s="9" t="s">
        <v>1417</v>
      </c>
      <c r="D102" s="10" t="s">
        <v>1418</v>
      </c>
    </row>
    <row r="103" customFormat="false" ht="26.85" hidden="false" customHeight="false" outlineLevel="0" collapsed="false">
      <c r="A103" s="15" t="s">
        <v>1319</v>
      </c>
      <c r="B103" s="8" t="s">
        <v>20</v>
      </c>
      <c r="C103" s="9" t="s">
        <v>1419</v>
      </c>
      <c r="D103" s="10" t="s">
        <v>508</v>
      </c>
    </row>
    <row r="104" customFormat="false" ht="26.85" hidden="false" customHeight="false" outlineLevel="0" collapsed="false">
      <c r="A104" s="15" t="s">
        <v>1309</v>
      </c>
      <c r="B104" s="8" t="s">
        <v>792</v>
      </c>
      <c r="C104" s="9" t="s">
        <v>1420</v>
      </c>
      <c r="D104" s="9" t="s">
        <v>1421</v>
      </c>
    </row>
    <row r="105" customFormat="false" ht="15" hidden="false" customHeight="false" outlineLevel="0" collapsed="false">
      <c r="A105" s="15" t="s">
        <v>1314</v>
      </c>
      <c r="B105" s="8" t="s">
        <v>792</v>
      </c>
      <c r="C105" s="9" t="s">
        <v>1422</v>
      </c>
      <c r="D105" s="9" t="s">
        <v>1423</v>
      </c>
    </row>
    <row r="106" customFormat="false" ht="15" hidden="false" customHeight="false" outlineLevel="0" collapsed="false">
      <c r="A106" s="15" t="s">
        <v>1319</v>
      </c>
      <c r="B106" s="8" t="s">
        <v>792</v>
      </c>
      <c r="C106" s="10" t="s">
        <v>1424</v>
      </c>
      <c r="D106" s="9" t="s">
        <v>1425</v>
      </c>
    </row>
    <row r="107" customFormat="false" ht="15" hidden="false" customHeight="false" outlineLevel="0" collapsed="false">
      <c r="A107" s="15" t="s">
        <v>1319</v>
      </c>
      <c r="B107" s="8" t="s">
        <v>792</v>
      </c>
      <c r="C107" s="9" t="s">
        <v>1426</v>
      </c>
      <c r="D107" s="10" t="s">
        <v>1427</v>
      </c>
    </row>
    <row r="108" customFormat="false" ht="15" hidden="false" customHeight="false" outlineLevel="0" collapsed="false">
      <c r="A108" s="15" t="s">
        <v>1319</v>
      </c>
      <c r="B108" s="8" t="s">
        <v>1231</v>
      </c>
      <c r="C108" s="9" t="s">
        <v>1428</v>
      </c>
      <c r="D108" s="9" t="s">
        <v>1429</v>
      </c>
    </row>
    <row r="109" customFormat="false" ht="15" hidden="false" customHeight="false" outlineLevel="0" collapsed="false">
      <c r="A109" s="15" t="s">
        <v>1319</v>
      </c>
      <c r="B109" s="8" t="s">
        <v>22</v>
      </c>
      <c r="C109" s="9" t="s">
        <v>1430</v>
      </c>
      <c r="D109" s="9" t="s">
        <v>1431</v>
      </c>
    </row>
    <row r="110" customFormat="false" ht="15" hidden="false" customHeight="false" outlineLevel="0" collapsed="false">
      <c r="A110" s="15" t="s">
        <v>1314</v>
      </c>
      <c r="B110" s="8" t="s">
        <v>22</v>
      </c>
      <c r="C110" s="9" t="s">
        <v>1432</v>
      </c>
      <c r="D110" s="10" t="s">
        <v>1433</v>
      </c>
    </row>
    <row r="111" customFormat="false" ht="15" hidden="false" customHeight="false" outlineLevel="0" collapsed="false">
      <c r="A111" s="15" t="s">
        <v>1319</v>
      </c>
      <c r="B111" s="8" t="s">
        <v>22</v>
      </c>
      <c r="C111" s="9" t="s">
        <v>1434</v>
      </c>
      <c r="D111" s="9" t="s">
        <v>1435</v>
      </c>
    </row>
    <row r="112" customFormat="false" ht="15" hidden="false" customHeight="false" outlineLevel="0" collapsed="false">
      <c r="A112" s="15" t="s">
        <v>1332</v>
      </c>
      <c r="B112" s="8" t="s">
        <v>22</v>
      </c>
      <c r="C112" s="9" t="s">
        <v>1436</v>
      </c>
      <c r="D112" s="10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1437</v>
      </c>
    </row>
    <row r="2" customFormat="false" ht="15" hidden="false" customHeight="false" outlineLevel="0" collapsed="false">
      <c r="A2" s="2" t="s">
        <v>1438</v>
      </c>
    </row>
    <row r="4" customFormat="false" ht="15" hidden="false" customHeight="false" outlineLevel="0" collapsed="false">
      <c r="A4" s="76" t="s">
        <v>1439</v>
      </c>
      <c r="B4" s="3" t="s">
        <v>300</v>
      </c>
      <c r="C4" s="3" t="s">
        <v>1440</v>
      </c>
      <c r="D4" s="3" t="s">
        <v>1002</v>
      </c>
      <c r="E4" s="3" t="s">
        <v>1441</v>
      </c>
    </row>
    <row r="5" customFormat="false" ht="39.55" hidden="false" customHeight="false" outlineLevel="0" collapsed="false">
      <c r="A5" s="69" t="n">
        <v>1</v>
      </c>
      <c r="B5" s="77" t="s">
        <v>594</v>
      </c>
      <c r="C5" s="9" t="s">
        <v>1442</v>
      </c>
      <c r="D5" s="9" t="s">
        <v>1443</v>
      </c>
      <c r="E5" s="10" t="s">
        <v>1444</v>
      </c>
    </row>
    <row r="6" customFormat="false" ht="26.85" hidden="false" customHeight="false" outlineLevel="0" collapsed="false">
      <c r="A6" s="69" t="n">
        <v>2</v>
      </c>
      <c r="B6" s="77" t="s">
        <v>594</v>
      </c>
      <c r="C6" s="9" t="s">
        <v>1445</v>
      </c>
      <c r="D6" s="10" t="s">
        <v>1446</v>
      </c>
      <c r="E6" s="10" t="s">
        <v>1447</v>
      </c>
    </row>
    <row r="7" customFormat="false" ht="26.85" hidden="false" customHeight="false" outlineLevel="0" collapsed="false">
      <c r="A7" s="69" t="n">
        <v>3</v>
      </c>
      <c r="B7" s="77" t="s">
        <v>594</v>
      </c>
      <c r="C7" s="9" t="s">
        <v>1448</v>
      </c>
      <c r="D7" s="9" t="s">
        <v>1449</v>
      </c>
      <c r="E7" s="9" t="s">
        <v>1450</v>
      </c>
    </row>
    <row r="8" customFormat="false" ht="26.85" hidden="false" customHeight="false" outlineLevel="0" collapsed="false">
      <c r="A8" s="69" t="n">
        <v>4</v>
      </c>
      <c r="B8" s="77" t="s">
        <v>594</v>
      </c>
      <c r="C8" s="9" t="s">
        <v>1451</v>
      </c>
      <c r="D8" s="10" t="s">
        <v>1452</v>
      </c>
      <c r="E8" s="9" t="s">
        <v>1453</v>
      </c>
    </row>
    <row r="9" customFormat="false" ht="26.85" hidden="false" customHeight="false" outlineLevel="0" collapsed="false">
      <c r="A9" s="69" t="n">
        <v>5</v>
      </c>
      <c r="B9" s="77" t="s">
        <v>594</v>
      </c>
      <c r="C9" s="9" t="s">
        <v>1454</v>
      </c>
      <c r="D9" s="9" t="s">
        <v>1455</v>
      </c>
      <c r="E9" s="9" t="s">
        <v>1456</v>
      </c>
    </row>
    <row r="10" customFormat="false" ht="26.85" hidden="false" customHeight="false" outlineLevel="0" collapsed="false">
      <c r="A10" s="69" t="n">
        <v>6</v>
      </c>
      <c r="B10" s="77" t="s">
        <v>594</v>
      </c>
      <c r="C10" s="9" t="s">
        <v>1457</v>
      </c>
      <c r="D10" s="9" t="s">
        <v>1458</v>
      </c>
      <c r="E10" s="9" t="s">
        <v>1459</v>
      </c>
    </row>
    <row r="11" customFormat="false" ht="26.85" hidden="false" customHeight="false" outlineLevel="0" collapsed="false">
      <c r="A11" s="69" t="n">
        <v>7</v>
      </c>
      <c r="B11" s="77" t="s">
        <v>594</v>
      </c>
      <c r="C11" s="9" t="s">
        <v>1460</v>
      </c>
      <c r="D11" s="9" t="s">
        <v>1461</v>
      </c>
      <c r="E11" s="9" t="s">
        <v>1462</v>
      </c>
    </row>
    <row r="12" customFormat="false" ht="39.55" hidden="false" customHeight="false" outlineLevel="0" collapsed="false">
      <c r="A12" s="69" t="n">
        <v>8</v>
      </c>
      <c r="B12" s="77" t="s">
        <v>594</v>
      </c>
      <c r="C12" s="9" t="s">
        <v>1463</v>
      </c>
      <c r="D12" s="9" t="s">
        <v>1464</v>
      </c>
      <c r="E12" s="9" t="s">
        <v>1465</v>
      </c>
    </row>
    <row r="13" customFormat="false" ht="26.85" hidden="false" customHeight="false" outlineLevel="0" collapsed="false">
      <c r="A13" s="69" t="n">
        <v>9</v>
      </c>
      <c r="B13" s="77" t="s">
        <v>1466</v>
      </c>
      <c r="C13" s="9" t="s">
        <v>1467</v>
      </c>
      <c r="D13" s="9" t="s">
        <v>1468</v>
      </c>
      <c r="E13" s="9" t="s">
        <v>1469</v>
      </c>
    </row>
    <row r="14" customFormat="false" ht="26.85" hidden="false" customHeight="false" outlineLevel="0" collapsed="false">
      <c r="A14" s="69" t="n">
        <v>10</v>
      </c>
      <c r="B14" s="77" t="s">
        <v>1466</v>
      </c>
      <c r="C14" s="9" t="s">
        <v>1470</v>
      </c>
      <c r="D14" s="9" t="s">
        <v>1471</v>
      </c>
      <c r="E14" s="9" t="s">
        <v>1472</v>
      </c>
    </row>
    <row r="15" customFormat="false" ht="26.85" hidden="false" customHeight="false" outlineLevel="0" collapsed="false">
      <c r="A15" s="69" t="n">
        <v>11</v>
      </c>
      <c r="B15" s="77" t="s">
        <v>1466</v>
      </c>
      <c r="C15" s="9" t="s">
        <v>1473</v>
      </c>
      <c r="D15" s="10" t="s">
        <v>1474</v>
      </c>
      <c r="E15" s="9" t="s">
        <v>1475</v>
      </c>
    </row>
    <row r="16" customFormat="false" ht="26.85" hidden="false" customHeight="false" outlineLevel="0" collapsed="false">
      <c r="A16" s="69" t="n">
        <v>12</v>
      </c>
      <c r="B16" s="77" t="s">
        <v>1466</v>
      </c>
      <c r="C16" s="10" t="s">
        <v>1476</v>
      </c>
      <c r="D16" s="9" t="s">
        <v>1477</v>
      </c>
      <c r="E16" s="9" t="s">
        <v>1478</v>
      </c>
    </row>
    <row r="17" customFormat="false" ht="26.85" hidden="false" customHeight="false" outlineLevel="0" collapsed="false">
      <c r="A17" s="69" t="n">
        <v>13</v>
      </c>
      <c r="B17" s="77" t="s">
        <v>1466</v>
      </c>
      <c r="C17" s="9" t="s">
        <v>1479</v>
      </c>
      <c r="D17" s="10" t="s">
        <v>1480</v>
      </c>
      <c r="E17" s="9" t="s">
        <v>1481</v>
      </c>
    </row>
    <row r="18" customFormat="false" ht="26.85" hidden="false" customHeight="false" outlineLevel="0" collapsed="false">
      <c r="A18" s="69" t="n">
        <v>14</v>
      </c>
      <c r="B18" s="77" t="s">
        <v>1482</v>
      </c>
      <c r="C18" s="9" t="s">
        <v>1483</v>
      </c>
      <c r="D18" s="9" t="s">
        <v>1484</v>
      </c>
      <c r="E18" s="9" t="s">
        <v>1485</v>
      </c>
    </row>
    <row r="19" customFormat="false" ht="39.55" hidden="false" customHeight="false" outlineLevel="0" collapsed="false">
      <c r="A19" s="69" t="n">
        <v>43</v>
      </c>
      <c r="B19" s="77" t="s">
        <v>1482</v>
      </c>
      <c r="C19" s="9" t="s">
        <v>1486</v>
      </c>
      <c r="D19" s="10" t="s">
        <v>1487</v>
      </c>
      <c r="E19" s="9" t="s">
        <v>1488</v>
      </c>
    </row>
    <row r="20" customFormat="false" ht="39.55" hidden="false" customHeight="false" outlineLevel="0" collapsed="false">
      <c r="A20" s="69" t="n">
        <v>44</v>
      </c>
      <c r="B20" s="77" t="s">
        <v>1482</v>
      </c>
      <c r="C20" s="9" t="s">
        <v>1489</v>
      </c>
      <c r="D20" s="10" t="s">
        <v>1490</v>
      </c>
      <c r="E20" s="9" t="s">
        <v>1491</v>
      </c>
    </row>
    <row r="21" customFormat="false" ht="39.55" hidden="false" customHeight="false" outlineLevel="0" collapsed="false">
      <c r="A21" s="69" t="n">
        <v>59</v>
      </c>
      <c r="B21" s="77" t="s">
        <v>1466</v>
      </c>
      <c r="C21" s="9" t="s">
        <v>1492</v>
      </c>
      <c r="D21" s="9" t="s">
        <v>1493</v>
      </c>
      <c r="E21" s="9" t="s">
        <v>1494</v>
      </c>
    </row>
    <row r="22" customFormat="false" ht="39.55" hidden="false" customHeight="false" outlineLevel="0" collapsed="false">
      <c r="A22" s="69" t="n">
        <v>60</v>
      </c>
      <c r="B22" s="77" t="s">
        <v>1482</v>
      </c>
      <c r="C22" s="9" t="s">
        <v>1495</v>
      </c>
      <c r="D22" s="9" t="s">
        <v>1496</v>
      </c>
      <c r="E22" s="9" t="s">
        <v>1497</v>
      </c>
    </row>
    <row r="23" customFormat="false" ht="26.85" hidden="false" customHeight="false" outlineLevel="0" collapsed="false">
      <c r="A23" s="69" t="n">
        <v>57</v>
      </c>
      <c r="B23" s="77" t="s">
        <v>1466</v>
      </c>
      <c r="C23" s="9" t="s">
        <v>1498</v>
      </c>
      <c r="D23" s="9" t="s">
        <v>1499</v>
      </c>
      <c r="E23" s="9" t="s">
        <v>1500</v>
      </c>
    </row>
    <row r="24" customFormat="false" ht="39.55" hidden="false" customHeight="false" outlineLevel="0" collapsed="false">
      <c r="A24" s="69" t="n">
        <v>58</v>
      </c>
      <c r="B24" s="77" t="s">
        <v>1466</v>
      </c>
      <c r="C24" s="9" t="s">
        <v>1501</v>
      </c>
      <c r="D24" s="9" t="s">
        <v>1502</v>
      </c>
      <c r="E24" s="9" t="s">
        <v>1503</v>
      </c>
    </row>
    <row r="25" customFormat="false" ht="39.55" hidden="false" customHeight="false" outlineLevel="0" collapsed="false">
      <c r="A25" s="69" t="n">
        <v>52</v>
      </c>
      <c r="B25" s="77" t="s">
        <v>1482</v>
      </c>
      <c r="C25" s="9" t="s">
        <v>1504</v>
      </c>
      <c r="D25" s="10" t="s">
        <v>1505</v>
      </c>
      <c r="E25" s="9" t="s">
        <v>1506</v>
      </c>
    </row>
    <row r="26" customFormat="false" ht="39.55" hidden="false" customHeight="false" outlineLevel="0" collapsed="false">
      <c r="A26" s="69" t="n">
        <v>53</v>
      </c>
      <c r="B26" s="77" t="s">
        <v>1466</v>
      </c>
      <c r="C26" s="9" t="s">
        <v>1507</v>
      </c>
      <c r="D26" s="9" t="s">
        <v>1508</v>
      </c>
      <c r="E26" s="9" t="s">
        <v>1509</v>
      </c>
    </row>
    <row r="27" customFormat="false" ht="39.55" hidden="false" customHeight="false" outlineLevel="0" collapsed="false">
      <c r="A27" s="69" t="n">
        <v>54</v>
      </c>
      <c r="B27" s="77" t="s">
        <v>1482</v>
      </c>
      <c r="C27" s="9" t="s">
        <v>1510</v>
      </c>
      <c r="D27" s="9" t="s">
        <v>1511</v>
      </c>
      <c r="E27" s="9" t="s">
        <v>1512</v>
      </c>
    </row>
    <row r="28" customFormat="false" ht="39.55" hidden="false" customHeight="false" outlineLevel="0" collapsed="false">
      <c r="A28" s="69" t="n">
        <v>49</v>
      </c>
      <c r="B28" s="77" t="s">
        <v>1466</v>
      </c>
      <c r="C28" s="9" t="s">
        <v>1513</v>
      </c>
      <c r="D28" s="9" t="s">
        <v>1514</v>
      </c>
      <c r="E28" s="9" t="s">
        <v>1515</v>
      </c>
    </row>
    <row r="29" customFormat="false" ht="26.85" hidden="false" customHeight="false" outlineLevel="0" collapsed="false">
      <c r="A29" s="69" t="n">
        <v>50</v>
      </c>
      <c r="B29" s="77" t="s">
        <v>1482</v>
      </c>
      <c r="C29" s="9" t="s">
        <v>1516</v>
      </c>
      <c r="D29" s="9" t="s">
        <v>1517</v>
      </c>
      <c r="E29" s="9" t="s">
        <v>1518</v>
      </c>
    </row>
    <row r="30" customFormat="false" ht="52.2" hidden="false" customHeight="false" outlineLevel="0" collapsed="false">
      <c r="A30" s="69" t="n">
        <v>51</v>
      </c>
      <c r="B30" s="77" t="s">
        <v>1466</v>
      </c>
      <c r="C30" s="9" t="s">
        <v>1519</v>
      </c>
      <c r="D30" s="9" t="s">
        <v>1520</v>
      </c>
      <c r="E30" s="9" t="s">
        <v>1521</v>
      </c>
    </row>
    <row r="31" customFormat="false" ht="39.55" hidden="false" customHeight="false" outlineLevel="0" collapsed="false">
      <c r="A31" s="69" t="n">
        <v>55</v>
      </c>
      <c r="B31" s="77" t="s">
        <v>594</v>
      </c>
      <c r="C31" s="9" t="s">
        <v>1522</v>
      </c>
      <c r="D31" s="9" t="s">
        <v>1523</v>
      </c>
      <c r="E31" s="10" t="s">
        <v>1524</v>
      </c>
    </row>
    <row r="32" customFormat="false" ht="39.55" hidden="false" customHeight="false" outlineLevel="0" collapsed="false">
      <c r="A32" s="69" t="n">
        <v>46</v>
      </c>
      <c r="B32" s="77" t="s">
        <v>1466</v>
      </c>
      <c r="C32" s="9" t="s">
        <v>1525</v>
      </c>
      <c r="D32" s="9" t="s">
        <v>1526</v>
      </c>
      <c r="E32" s="9" t="s">
        <v>1527</v>
      </c>
    </row>
    <row r="33" customFormat="false" ht="39.55" hidden="false" customHeight="false" outlineLevel="0" collapsed="false">
      <c r="A33" s="69" t="n">
        <v>56</v>
      </c>
      <c r="B33" s="77" t="s">
        <v>1482</v>
      </c>
      <c r="C33" s="9" t="s">
        <v>1528</v>
      </c>
      <c r="D33" s="9" t="s">
        <v>1529</v>
      </c>
      <c r="E33" s="9" t="s">
        <v>1530</v>
      </c>
    </row>
    <row r="34" customFormat="false" ht="26.85" hidden="false" customHeight="false" outlineLevel="0" collapsed="false">
      <c r="A34" s="69" t="n">
        <v>47</v>
      </c>
      <c r="B34" s="77" t="s">
        <v>1482</v>
      </c>
      <c r="C34" s="9" t="s">
        <v>1531</v>
      </c>
      <c r="D34" s="10" t="s">
        <v>1532</v>
      </c>
      <c r="E34" s="9" t="s">
        <v>1533</v>
      </c>
    </row>
    <row r="35" customFormat="false" ht="39.55" hidden="false" customHeight="false" outlineLevel="0" collapsed="false">
      <c r="A35" s="69" t="n">
        <v>48</v>
      </c>
      <c r="B35" s="77" t="s">
        <v>1482</v>
      </c>
      <c r="C35" s="9" t="s">
        <v>1534</v>
      </c>
      <c r="D35" s="9" t="s">
        <v>1535</v>
      </c>
      <c r="E35" s="9" t="s">
        <v>1536</v>
      </c>
    </row>
    <row r="36" customFormat="false" ht="39.55" hidden="false" customHeight="false" outlineLevel="0" collapsed="false">
      <c r="A36" s="69" t="n">
        <v>45</v>
      </c>
      <c r="B36" s="77" t="s">
        <v>1466</v>
      </c>
      <c r="C36" s="9" t="s">
        <v>1537</v>
      </c>
      <c r="D36" s="9" t="s">
        <v>1538</v>
      </c>
      <c r="E36" s="9" t="s">
        <v>1539</v>
      </c>
    </row>
    <row r="37" customFormat="false" ht="39.55" hidden="false" customHeight="false" outlineLevel="0" collapsed="false">
      <c r="A37" s="69" t="n">
        <v>39</v>
      </c>
      <c r="B37" s="77" t="s">
        <v>594</v>
      </c>
      <c r="C37" s="9" t="s">
        <v>1540</v>
      </c>
      <c r="D37" s="9" t="s">
        <v>1541</v>
      </c>
      <c r="E37" s="9" t="s">
        <v>1542</v>
      </c>
    </row>
    <row r="38" customFormat="false" ht="39.55" hidden="false" customHeight="false" outlineLevel="0" collapsed="false">
      <c r="A38" s="69" t="n">
        <v>40</v>
      </c>
      <c r="B38" s="77" t="s">
        <v>594</v>
      </c>
      <c r="C38" s="9" t="s">
        <v>1543</v>
      </c>
      <c r="D38" s="9" t="s">
        <v>1544</v>
      </c>
      <c r="E38" s="9" t="s">
        <v>1545</v>
      </c>
    </row>
    <row r="39" customFormat="false" ht="39.55" hidden="false" customHeight="false" outlineLevel="0" collapsed="false">
      <c r="A39" s="69" t="n">
        <v>41</v>
      </c>
      <c r="B39" s="77" t="s">
        <v>1482</v>
      </c>
      <c r="C39" s="9" t="s">
        <v>1546</v>
      </c>
      <c r="D39" s="9" t="s">
        <v>1547</v>
      </c>
      <c r="E39" s="9" t="s">
        <v>1548</v>
      </c>
    </row>
    <row r="40" customFormat="false" ht="26.85" hidden="false" customHeight="false" outlineLevel="0" collapsed="false">
      <c r="A40" s="69" t="n">
        <v>42</v>
      </c>
      <c r="B40" s="77" t="s">
        <v>1466</v>
      </c>
      <c r="C40" s="9" t="s">
        <v>1549</v>
      </c>
      <c r="D40" s="9" t="s">
        <v>1550</v>
      </c>
      <c r="E40" s="9" t="s">
        <v>1551</v>
      </c>
    </row>
    <row r="41" customFormat="false" ht="39.55" hidden="false" customHeight="false" outlineLevel="0" collapsed="false">
      <c r="A41" s="69" t="n">
        <v>34</v>
      </c>
      <c r="B41" s="77" t="s">
        <v>1482</v>
      </c>
      <c r="C41" s="9" t="s">
        <v>1552</v>
      </c>
      <c r="D41" s="9" t="s">
        <v>1553</v>
      </c>
      <c r="E41" s="9" t="s">
        <v>1554</v>
      </c>
    </row>
    <row r="42" customFormat="false" ht="39.55" hidden="false" customHeight="false" outlineLevel="0" collapsed="false">
      <c r="A42" s="69" t="n">
        <v>35</v>
      </c>
      <c r="B42" s="77" t="s">
        <v>594</v>
      </c>
      <c r="C42" s="9" t="s">
        <v>1555</v>
      </c>
      <c r="D42" s="9" t="s">
        <v>1556</v>
      </c>
      <c r="E42" s="9" t="s">
        <v>1557</v>
      </c>
    </row>
    <row r="43" customFormat="false" ht="39.55" hidden="false" customHeight="false" outlineLevel="0" collapsed="false">
      <c r="A43" s="69" t="n">
        <v>36</v>
      </c>
      <c r="B43" s="77" t="s">
        <v>1482</v>
      </c>
      <c r="C43" s="9" t="s">
        <v>1558</v>
      </c>
      <c r="D43" s="9" t="s">
        <v>1559</v>
      </c>
      <c r="E43" s="9" t="s">
        <v>1560</v>
      </c>
    </row>
    <row r="44" customFormat="false" ht="39.55" hidden="false" customHeight="false" outlineLevel="0" collapsed="false">
      <c r="A44" s="69" t="n">
        <v>37</v>
      </c>
      <c r="B44" s="77" t="s">
        <v>1482</v>
      </c>
      <c r="C44" s="9" t="s">
        <v>1561</v>
      </c>
      <c r="D44" s="9" t="s">
        <v>1562</v>
      </c>
      <c r="E44" s="9" t="s">
        <v>1563</v>
      </c>
    </row>
    <row r="45" customFormat="false" ht="39.55" hidden="false" customHeight="false" outlineLevel="0" collapsed="false">
      <c r="A45" s="69" t="n">
        <v>38</v>
      </c>
      <c r="B45" s="77" t="s">
        <v>594</v>
      </c>
      <c r="C45" s="9" t="s">
        <v>1564</v>
      </c>
      <c r="D45" s="10" t="s">
        <v>1565</v>
      </c>
      <c r="E45" s="9" t="s">
        <v>1566</v>
      </c>
    </row>
    <row r="46" customFormat="false" ht="39.55" hidden="false" customHeight="false" outlineLevel="0" collapsed="false">
      <c r="A46" s="69" t="n">
        <v>31</v>
      </c>
      <c r="B46" s="77" t="s">
        <v>1466</v>
      </c>
      <c r="C46" s="9" t="s">
        <v>1567</v>
      </c>
      <c r="D46" s="10" t="s">
        <v>1568</v>
      </c>
      <c r="E46" s="9" t="s">
        <v>1569</v>
      </c>
    </row>
    <row r="47" customFormat="false" ht="39.55" hidden="false" customHeight="false" outlineLevel="0" collapsed="false">
      <c r="A47" s="69" t="n">
        <v>32</v>
      </c>
      <c r="B47" s="77" t="s">
        <v>1482</v>
      </c>
      <c r="C47" s="9" t="s">
        <v>1570</v>
      </c>
      <c r="D47" s="10" t="s">
        <v>1571</v>
      </c>
      <c r="E47" s="10" t="s">
        <v>1572</v>
      </c>
    </row>
    <row r="48" customFormat="false" ht="26.85" hidden="false" customHeight="false" outlineLevel="0" collapsed="false">
      <c r="A48" s="69" t="n">
        <v>33</v>
      </c>
      <c r="B48" s="77" t="s">
        <v>1466</v>
      </c>
      <c r="C48" s="9" t="s">
        <v>1573</v>
      </c>
      <c r="D48" s="9" t="s">
        <v>1574</v>
      </c>
      <c r="E48" s="9" t="s">
        <v>1575</v>
      </c>
    </row>
    <row r="49" customFormat="false" ht="39.55" hidden="false" customHeight="false" outlineLevel="0" collapsed="false">
      <c r="A49" s="69" t="n">
        <v>29</v>
      </c>
      <c r="B49" s="77" t="s">
        <v>1482</v>
      </c>
      <c r="C49" s="9" t="s">
        <v>1576</v>
      </c>
      <c r="D49" s="9" t="s">
        <v>1577</v>
      </c>
      <c r="E49" s="9" t="s">
        <v>1578</v>
      </c>
    </row>
    <row r="50" customFormat="false" ht="26.85" hidden="false" customHeight="false" outlineLevel="0" collapsed="false">
      <c r="A50" s="69" t="n">
        <v>30</v>
      </c>
      <c r="B50" s="77" t="s">
        <v>1466</v>
      </c>
      <c r="C50" s="9" t="s">
        <v>1579</v>
      </c>
      <c r="D50" s="9" t="s">
        <v>1580</v>
      </c>
      <c r="E50" s="9" t="s">
        <v>1581</v>
      </c>
    </row>
    <row r="51" customFormat="false" ht="38.05" hidden="false" customHeight="false" outlineLevel="0" collapsed="false">
      <c r="A51" s="69" t="n">
        <v>26</v>
      </c>
      <c r="B51" s="77" t="s">
        <v>1466</v>
      </c>
      <c r="C51" s="10" t="s">
        <v>1582</v>
      </c>
      <c r="D51" s="9" t="s">
        <v>1583</v>
      </c>
      <c r="E51" s="9" t="s">
        <v>1584</v>
      </c>
    </row>
    <row r="52" customFormat="false" ht="26.85" hidden="false" customHeight="false" outlineLevel="0" collapsed="false">
      <c r="A52" s="69" t="n">
        <v>27</v>
      </c>
      <c r="B52" s="77" t="s">
        <v>1466</v>
      </c>
      <c r="C52" s="9" t="s">
        <v>1585</v>
      </c>
      <c r="D52" s="9" t="s">
        <v>1586</v>
      </c>
      <c r="E52" s="9" t="s">
        <v>1587</v>
      </c>
    </row>
    <row r="53" customFormat="false" ht="26.85" hidden="false" customHeight="false" outlineLevel="0" collapsed="false">
      <c r="A53" s="69" t="n">
        <v>28</v>
      </c>
      <c r="B53" s="77" t="s">
        <v>1466</v>
      </c>
      <c r="C53" s="9" t="s">
        <v>1588</v>
      </c>
      <c r="D53" s="9" t="s">
        <v>1589</v>
      </c>
      <c r="E53" s="9" t="s">
        <v>1590</v>
      </c>
    </row>
    <row r="54" customFormat="false" ht="39.55" hidden="false" customHeight="false" outlineLevel="0" collapsed="false">
      <c r="A54" s="69" t="n">
        <v>22</v>
      </c>
      <c r="B54" s="77" t="s">
        <v>594</v>
      </c>
      <c r="C54" s="9" t="s">
        <v>1591</v>
      </c>
      <c r="D54" s="9" t="s">
        <v>1592</v>
      </c>
      <c r="E54" s="9" t="s">
        <v>1593</v>
      </c>
    </row>
    <row r="55" customFormat="false" ht="39.55" hidden="false" customHeight="false" outlineLevel="0" collapsed="false">
      <c r="A55" s="69" t="n">
        <v>23</v>
      </c>
      <c r="B55" s="77" t="s">
        <v>594</v>
      </c>
      <c r="C55" s="9" t="s">
        <v>1594</v>
      </c>
      <c r="D55" s="10" t="s">
        <v>1595</v>
      </c>
      <c r="E55" s="9" t="s">
        <v>1596</v>
      </c>
    </row>
    <row r="56" customFormat="false" ht="26.85" hidden="false" customHeight="false" outlineLevel="0" collapsed="false">
      <c r="A56" s="69" t="n">
        <v>24</v>
      </c>
      <c r="B56" s="77" t="s">
        <v>1466</v>
      </c>
      <c r="C56" s="9" t="s">
        <v>1597</v>
      </c>
      <c r="D56" s="9" t="s">
        <v>1598</v>
      </c>
      <c r="E56" s="9" t="s">
        <v>1599</v>
      </c>
    </row>
    <row r="57" customFormat="false" ht="39.55" hidden="false" customHeight="false" outlineLevel="0" collapsed="false">
      <c r="A57" s="69" t="n">
        <v>25</v>
      </c>
      <c r="B57" s="77" t="s">
        <v>1482</v>
      </c>
      <c r="C57" s="9" t="s">
        <v>1600</v>
      </c>
      <c r="D57" s="9" t="s">
        <v>1601</v>
      </c>
      <c r="E57" s="10" t="s">
        <v>1602</v>
      </c>
    </row>
    <row r="58" customFormat="false" ht="39.55" hidden="false" customHeight="false" outlineLevel="0" collapsed="false">
      <c r="A58" s="69" t="n">
        <v>20</v>
      </c>
      <c r="B58" s="77" t="s">
        <v>1466</v>
      </c>
      <c r="C58" s="9" t="s">
        <v>1603</v>
      </c>
      <c r="D58" s="9" t="s">
        <v>1604</v>
      </c>
      <c r="E58" s="9" t="s">
        <v>1605</v>
      </c>
    </row>
    <row r="59" customFormat="false" ht="26.85" hidden="false" customHeight="false" outlineLevel="0" collapsed="false">
      <c r="A59" s="69" t="n">
        <v>21</v>
      </c>
      <c r="B59" s="77" t="s">
        <v>1466</v>
      </c>
      <c r="C59" s="9" t="s">
        <v>1606</v>
      </c>
      <c r="D59" s="9" t="s">
        <v>1607</v>
      </c>
      <c r="E59" s="9" t="s">
        <v>1608</v>
      </c>
    </row>
    <row r="60" customFormat="false" ht="39.55" hidden="false" customHeight="false" outlineLevel="0" collapsed="false">
      <c r="A60" s="69" t="n">
        <v>16</v>
      </c>
      <c r="B60" s="77" t="s">
        <v>1482</v>
      </c>
      <c r="C60" s="9" t="s">
        <v>1609</v>
      </c>
      <c r="D60" s="9" t="s">
        <v>1610</v>
      </c>
      <c r="E60" s="9" t="s">
        <v>1611</v>
      </c>
    </row>
    <row r="61" customFormat="false" ht="39.55" hidden="false" customHeight="false" outlineLevel="0" collapsed="false">
      <c r="A61" s="69" t="n">
        <v>17</v>
      </c>
      <c r="B61" s="77" t="s">
        <v>1466</v>
      </c>
      <c r="C61" s="9" t="s">
        <v>1612</v>
      </c>
      <c r="D61" s="9" t="s">
        <v>1613</v>
      </c>
      <c r="E61" s="9" t="s">
        <v>1614</v>
      </c>
    </row>
    <row r="62" customFormat="false" ht="52.2" hidden="false" customHeight="false" outlineLevel="0" collapsed="false">
      <c r="A62" s="69" t="n">
        <v>18</v>
      </c>
      <c r="B62" s="77" t="s">
        <v>594</v>
      </c>
      <c r="C62" s="9" t="s">
        <v>1615</v>
      </c>
      <c r="D62" s="9" t="s">
        <v>1616</v>
      </c>
      <c r="E62" s="10" t="s">
        <v>1617</v>
      </c>
    </row>
    <row r="63" customFormat="false" ht="26.85" hidden="false" customHeight="false" outlineLevel="0" collapsed="false">
      <c r="A63" s="69" t="n">
        <v>19</v>
      </c>
      <c r="B63" s="77" t="s">
        <v>1482</v>
      </c>
      <c r="C63" s="9" t="s">
        <v>1618</v>
      </c>
      <c r="D63" s="9" t="s">
        <v>1619</v>
      </c>
      <c r="E63" s="9" t="s">
        <v>1620</v>
      </c>
    </row>
    <row r="64" customFormat="false" ht="39.55" hidden="false" customHeight="false" outlineLevel="0" collapsed="false">
      <c r="A64" s="69" t="n">
        <v>15</v>
      </c>
      <c r="B64" s="77" t="s">
        <v>1482</v>
      </c>
      <c r="C64" s="9" t="s">
        <v>1621</v>
      </c>
      <c r="D64" s="9" t="s">
        <v>1622</v>
      </c>
      <c r="E64" s="9" t="s">
        <v>1623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2026-08-19T17:40:36Z</dcterms:created>
  <dc:creator>openpyxl</dc:creator>
  <dc:description/>
  <dc:language>en-US</dc:language>
  <cp:lastModifiedBy/>
  <dcterms:modified xsi:type="dcterms:W3CDTF">2026-08-19T17:40:36Z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