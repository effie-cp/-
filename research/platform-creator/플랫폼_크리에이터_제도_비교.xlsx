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2. 비전속 제도" sheetId="2" state="visible" r:id="rId4"/>
    <sheet name="3. 정산 단가" sheetId="3" state="visible" r:id="rId5"/>
    <sheet name="4. 등급표" sheetId="4" state="visible" r:id="rId6"/>
    <sheet name="5. 출처·미확인" sheetId="5" state="visible" r:id="rId7"/>
    <sheet name="6. 시사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<sst xmlns="http://schemas.openxmlformats.org/spreadsheetml/2006/main" count="1182" uniqueCount="685">
  <si>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</si>
  <si>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</si>
  <si>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성격이 다르므로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</si>
  <si>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항목</t>
  </si>
  <si>
    <t xml:space="preserve">케이브덕</t>
  </si>
  <si>
    <t xml:space="preserve">베이비챗</t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</si>
  <si>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</si>
  <si>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</si>
  <si>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</si>
  <si>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</si>
  <si>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</si>
  <si>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</si>
  <si>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</si>
  <si>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</si>
  <si>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</si>
  <si>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</si>
  <si>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</si>
  <si>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</si>
  <si>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</si>
  <si>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</si>
  <si>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</si>
  <si>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</si>
  <si>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</si>
  <si>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</si>
  <si>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</si>
  <si>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</si>
  <si>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</si>
  <si>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</si>
  <si>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</si>
  <si>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</si>
  <si>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</si>
  <si>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</si>
  <si>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</si>
  <si>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</si>
  <si>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</si>
  <si>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</si>
  <si>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</si>
  <si>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</si>
  <si>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</si>
  <si>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</si>
  <si>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</si>
  <si>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</si>
  <si>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</si>
  <si>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</si>
  <si>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</si>
  <si>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</si>
  <si>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</si>
  <si>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</si>
  <si>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</si>
  <si>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</si>
  <si>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</si>
  <si>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</si>
  <si>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</si>
  <si>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</si>
  <si>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</si>
  <si>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하나도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전언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독점을 포함한 제한 조항이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 미공개로 검증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</si>
  <si>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</si>
  <si>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</si>
  <si>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</si>
  <si>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</si>
  <si>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</si>
  <si>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</si>
  <si>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</si>
  <si>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</si>
  <si>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</si>
  <si>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</si>
  <si>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</si>
  <si>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</si>
  <si>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불가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</si>
  <si>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</si>
  <si>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</si>
  <si>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</si>
  <si>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</si>
  <si>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</si>
  <si>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</si>
  <si>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</si>
  <si>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</si>
  <si>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</si>
  <si>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</si>
  <si>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</si>
  <si>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</si>
  <si>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</si>
  <si>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</si>
  <si>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</si>
  <si>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</si>
  <si>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</si>
  <si>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</si>
  <si>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</si>
  <si>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</si>
  <si>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</si>
  <si>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</si>
  <si>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</si>
  <si>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</si>
  <si>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</si>
  <si>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</si>
  <si>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</si>
  <si>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</si>
  <si>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</si>
  <si>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</si>
  <si>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</si>
  <si>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</si>
  <si>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</si>
  <si>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</si>
  <si>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</si>
  <si>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</si>
  <si>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</si>
  <si>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</si>
  <si>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</si>
  <si>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</si>
  <si>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</si>
  <si>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</si>
  <si>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</si>
  <si>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</si>
  <si>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</si>
  <si>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</si>
  <si>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</si>
  <si>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</si>
  <si>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</si>
  <si>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</si>
  <si>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</si>
  <si>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</si>
  <si>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</si>
  <si>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</si>
  <si>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6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없음 — 에덴챗은 요율표 자체가 없는 개별 협의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페이브챗은 약관상 기밀유지 의무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</si>
  <si>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</si>
  <si>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</si>
  <si>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</si>
  <si>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</si>
  <si>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</si>
  <si>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</si>
  <si>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</si>
  <si>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</si>
  <si>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</si>
  <si>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</si>
  <si>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</si>
  <si>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</si>
  <si>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</si>
  <si>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</si>
  <si>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</si>
  <si>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</si>
  <si>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t xml:space="preserve">미확인 — 제작자별 맞춤형 개별 협의</t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</si>
  <si>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</si>
  <si>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</si>
  <si>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</si>
  <si>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</si>
  <si>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</si>
  <si>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</si>
  <si>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</si>
  <si>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</si>
  <si>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</si>
  <si>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</si>
  <si>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</si>
  <si>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</si>
  <si>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</si>
  <si>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</si>
  <si>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</si>
  <si>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</si>
  <si>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</si>
  <si>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</si>
  <si>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</si>
  <si>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</si>
  <si>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</si>
  <si>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</si>
  <si>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</si>
  <si>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</si>
  <si>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</si>
  <si>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</si>
  <si>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</si>
  <si>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</si>
  <si>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</si>
  <si>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</si>
  <si>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</si>
  <si>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</si>
  <si>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</si>
  <si>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</si>
  <si>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</si>
  <si>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</si>
  <si>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</si>
  <si>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</si>
  <si>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</si>
  <si>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</si>
  <si>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</si>
  <si>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</si>
  <si>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</si>
  <si>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</si>
  <si>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</si>
  <si>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</si>
  <si>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</si>
  <si>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</si>
  <si>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</si>
  <si>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</si>
  <si>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</si>
  <si>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</si>
  <si>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</si>
  <si>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</si>
  <si>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</si>
  <si>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</si>
  <si>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t xml:space="preserve">본인 대화 적립</t>
  </si>
  <si>
    <t xml:space="preserve">불가</t>
  </si>
  <si>
    <t xml:space="preserve">가능 — 본인이 본인 작품에 사용한 프로챗도 적립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</si>
  <si>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</si>
  <si>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</si>
  <si>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</si>
  <si>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</si>
  <si>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</si>
  <si>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</si>
  <si>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</si>
  <si>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</si>
  <si>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</si>
  <si>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</si>
  <si>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</si>
  <si>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</si>
  <si>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</si>
  <si>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</si>
  <si>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</si>
  <si>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</si>
  <si>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</si>
  <si>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</si>
  <si>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</si>
  <si>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</si>
  <si>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</si>
  <si>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</si>
  <si>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</si>
  <si>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</si>
  <si>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</si>
  <si>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</si>
  <si>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</si>
  <si>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</si>
  <si>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</si>
  <si>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</si>
  <si>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</si>
  <si>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</si>
  <si>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t xml:space="preserve">기간 중 해제</t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</si>
  <si>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</si>
  <si>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</si>
  <si>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</si>
  <si>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</si>
  <si>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</si>
  <si>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</si>
  <si>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</si>
  <si>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</si>
  <si>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</si>
  <si>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</si>
  <si>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</si>
  <si>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</si>
  <si>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</si>
  <si>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</si>
  <si>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</si>
  <si>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</si>
  <si>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</si>
  <si>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</si>
  <si>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</si>
  <si>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</si>
  <si>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</si>
  <si>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</si>
  <si>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</si>
  <si>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</si>
  <si>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</si>
  <si>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</si>
  <si>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</si>
  <si>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</si>
  <si>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</si>
  <si>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</si>
  <si>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</si>
  <si>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</si>
  <si>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</si>
  <si>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</si>
  <si>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</si>
  <si>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</si>
  <si>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</si>
  <si>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</si>
  <si>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</si>
  <si>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</si>
  <si>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</si>
  <si>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</si>
  <si>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</si>
  <si>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</si>
  <si>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</si>
  <si>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</si>
  <si>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</si>
  <si>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</si>
  <si>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</si>
  <si>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</si>
  <si>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</si>
  <si>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</si>
  <si>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</si>
  <si>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</si>
  <si>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</si>
  <si>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</si>
  <si>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</si>
  <si>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</si>
  <si>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</si>
  <si>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</si>
  <si>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</si>
  <si>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</si>
  <si>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</si>
  <si>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</si>
  <si>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</si>
  <si>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</si>
  <si>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</si>
  <si>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</si>
  <si>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</si>
  <si>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</si>
  <si>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</si>
  <si>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</si>
  <si>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</si>
  <si>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</si>
  <si>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</si>
  <si>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</si>
  <si>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</si>
  <si>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</si>
  <si>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</si>
  <si>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</si>
  <si>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</si>
  <si>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</si>
  <si>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</si>
  <si>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</si>
  <si>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</si>
  <si>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</si>
  <si>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</si>
  <si>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</si>
  <si>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</si>
  <si>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b val="true"/>
        <sz val="10"/>
        <rFont val="WenQuanYi Zen Hei"/>
        <family val="2"/>
      </rPr>
      <t xml:space="preserve">케이브덕 부가 수익원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같은 플랫폼 안에서 회수율이 </t>
    </r>
    <r>
      <rPr>
        <b val="true"/>
        <sz val="10"/>
        <rFont val="맑은 고딕"/>
        <family val="0"/>
        <charset val="1"/>
      </rPr>
      <t xml:space="preserve">7.5</t>
    </r>
    <r>
      <rPr>
        <b val="true"/>
        <sz val="10"/>
        <rFont val="WenQuanYi Zen Hei"/>
        <family val="2"/>
      </rPr>
      <t xml:space="preserve">배까지 차이남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</si>
  <si>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 </t>
    </r>
    <r>
      <rPr>
        <sz val="10"/>
        <rFont val="WenQuanYi Zen Hei"/>
        <family val="2"/>
      </rPr>
      <t xml:space="preserve">깃털 → 크리에이터 </t>
    </r>
    <r>
      <rPr>
        <sz val="10"/>
        <rFont val="맑은 고딕"/>
        <family val="0"/>
        <charset val="1"/>
      </rPr>
      <t xml:space="preserve">250pt (150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0.500pt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</si>
  <si>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100pt (60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0.333pt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</si>
  <si>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8pt (4.8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0.100pt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</si>
  <si>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10pt (6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0.067pt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</si>
  <si>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</si>
  <si>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</si>
  <si>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</si>
  <si>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</si>
  <si>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</si>
  <si>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</si>
  <si>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</si>
  <si>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</si>
  <si>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</si>
  <si>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</si>
  <si>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</si>
  <si>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</si>
  <si>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</si>
  <si>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</si>
  <si>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</si>
  <si>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</si>
  <si>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</si>
  <si>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</si>
  <si>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</si>
  <si>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</si>
  <si>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</si>
  <si>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</si>
  <si>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</si>
  <si>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</si>
  <si>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</si>
  <si>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</si>
  <si>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</si>
  <si>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</si>
  <si>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</si>
  <si>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</si>
  <si>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</si>
  <si>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</si>
  <si>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</si>
  <si>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</si>
  <si>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</si>
  <si>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</si>
  <si>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</si>
  <si>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</si>
  <si>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</si>
  <si>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</si>
  <si>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</si>
  <si>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</si>
  <si>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</si>
  <si>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</si>
  <si>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</si>
  <si>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</si>
  <si>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</si>
  <si>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</si>
  <si>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</si>
  <si>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</si>
  <si>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</si>
  <si>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</si>
  <si>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</si>
  <si>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</si>
  <si>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</si>
  <si>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</si>
  <si>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</si>
  <si>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</si>
  <si>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t xml:space="preserve">1.0~2.3%</t>
  </si>
  <si>
    <t xml:space="preserve">미공개 — 전환 비율만 표기하고 실질 수치는 밝히지 않음</t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</si>
  <si>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</si>
  <si>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</si>
  <si>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</si>
  <si>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</si>
  <si>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</si>
  <si>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</si>
  <si>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</si>
  <si>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</si>
  <si>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</si>
  <si>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</si>
  <si>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</si>
  <si>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</si>
  <si>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</si>
  <si>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</si>
  <si>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</si>
  <si>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</si>
  <si>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</si>
  <si>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</si>
  <si>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</si>
  <si>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</si>
  <si>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</si>
  <si>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</si>
  <si>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</si>
  <si>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</si>
  <si>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</si>
  <si>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</si>
  <si>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</si>
  <si>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</si>
  <si>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</si>
  <si>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</si>
  <si>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</si>
  <si>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</si>
  <si>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</si>
  <si>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</si>
  <si>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</si>
  <si>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</si>
  <si>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</si>
  <si>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</si>
  <si>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</si>
  <si>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</si>
  <si>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</si>
  <si>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</si>
  <si>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</si>
  <si>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</si>
  <si>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</si>
  <si>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</si>
  <si>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</si>
  <si>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</si>
  <si>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</si>
  <si>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</si>
  <si>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</si>
  <si>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</si>
  <si>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</si>
  <si>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</si>
  <si>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</si>
  <si>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</si>
  <si>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</si>
  <si>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</si>
  <si>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</si>
  <si>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</si>
  <si>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</si>
  <si>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</si>
  <si>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</si>
  <si>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</si>
  <si>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</si>
  <si>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</si>
  <si>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</si>
  <si>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</si>
  <si>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</si>
  <si>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</si>
  <si>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</si>
  <si>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</si>
  <si>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</si>
  <si>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</si>
  <si>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</si>
  <si>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</si>
  <si>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</si>
  <si>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</si>
  <si>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</si>
  <si>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</si>
  <si>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</si>
  <si>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</si>
  <si>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</si>
  <si>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</si>
  <si>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</si>
  <si>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</si>
  <si>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</si>
  <si>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</si>
  <si>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</si>
  <si>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</si>
  <si>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</si>
  <si>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</si>
  <si>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</si>
  <si>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</si>
  <si>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</si>
  <si>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</si>
  <si>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</si>
  <si>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</si>
  <si>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</si>
  <si>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 — 전언 기반 정보</t>
    </r>
  </si>
  <si>
    <r>
      <rPr>
        <sz val="10"/>
        <rFont val="WenQuanYi Zen Hei"/>
        <family val="2"/>
      </rPr>
      <t xml:space="preserve">사용자 수집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커뮤니티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</si>
  <si>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</si>
  <si>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</si>
  <si>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</si>
  <si>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</si>
  <si>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</si>
  <si>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</si>
  <si>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</si>
  <si>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</si>
  <si>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</si>
  <si>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내용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</si>
  <si>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</si>
  <si>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</si>
  <si>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</si>
  <si>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</si>
  <si>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</si>
  <si>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</si>
  <si>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</si>
  <si>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</si>
  <si>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</si>
  <si>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</si>
  <si>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</si>
  <si>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</si>
  <si>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</si>
  <si>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</si>
  <si>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</si>
  <si>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</si>
  <si>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</si>
  <si>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</si>
  <si>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</si>
  <si>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</si>
  <si>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</si>
  <si>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</si>
  <si>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</si>
  <si>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</si>
  <si>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t xml:space="preserve">구조적 한계</t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</si>
  <si>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</si>
  <si>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</si>
  <si>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</si>
  <si>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</si>
  <si>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</si>
  <si>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</si>
  <si>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</si>
  <si>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</si>
  <si>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</si>
  <si>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</si>
  <si>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</si>
  <si>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</si>
  <si>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</si>
  <si>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</si>
  <si>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윙 충전 가격표</t>
    </r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</si>
  <si>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</si>
  <si>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t xml:space="preserve">프로챗 충전 가격표</t>
  </si>
  <si>
    <t xml:space="preserve">베리 실질 회수율의 원화 환산</t>
  </si>
  <si>
    <t xml:space="preserve">크레딧 충전 가격표</t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</si>
  <si>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</si>
  <si>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</si>
  <si>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</si>
  <si>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</si>
  <si>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</si>
  <si>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</si>
  <si>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</si>
  <si>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</si>
  <si>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</si>
  <si>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</si>
  <si>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</si>
  <si>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</si>
  <si>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윙</t>
    </r>
    <r>
      <rPr>
        <sz val="10"/>
        <rFont val="맑은 고딕"/>
        <family val="0"/>
        <charset val="1"/>
      </rPr>
      <t xml:space="preserve">(🪽) </t>
    </r>
    <r>
      <rPr>
        <sz val="10"/>
        <rFont val="WenQuanYi Zen Hei"/>
        <family val="2"/>
      </rPr>
      <t xml:space="preserve">선물 기능 안내</t>
    </r>
  </si>
  <si>
    <r>
      <rPr>
        <sz val="10"/>
        <rFont val="WenQuanYi Zen Hei"/>
        <family val="2"/>
      </rPr>
      <t xml:space="preserve">선물 수수료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모수</t>
    </r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</si>
  <si>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</si>
  <si>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</si>
  <si>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</si>
  <si>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</si>
  <si>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</si>
  <si>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</si>
  <si>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</si>
  <si>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</si>
  <si>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</si>
  <si>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</si>
  <si>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</si>
  <si>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</si>
  <si>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</si>
  <si>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</si>
  <si>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</si>
  <si>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</si>
  <si>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</si>
  <si>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</si>
  <si>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</si>
  <si>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</si>
  <si>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</si>
  <si>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</si>
  <si>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</si>
  <si>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</si>
  <si>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</si>
  <si>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</si>
  <si>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</si>
  <si>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</si>
  <si>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</si>
  <si>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</si>
  <si>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</si>
  <si>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</si>
  <si>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</si>
  <si>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</si>
  <si>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</si>
  <si>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</si>
  <si>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</si>
  <si>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</si>
  <si>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</si>
  <si>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</si>
  <si>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</si>
  <si>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근거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</si>
  <si>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</si>
  <si>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</si>
  <si>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</si>
  <si>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</si>
  <si>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</si>
  <si>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</si>
  <si>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</si>
  <si>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</si>
  <si>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</si>
  <si>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</si>
  <si>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</si>
  <si>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</si>
  <si>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</si>
  <si>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</si>
  <si>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</si>
  <si>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</si>
  <si>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</si>
  <si>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</si>
  <si>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</si>
  <si>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</si>
  <si>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</si>
  <si>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</si>
  <si>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</si>
  <si>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</si>
  <si>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</si>
  <si>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</si>
  <si>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</si>
  <si>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</si>
  <si>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</si>
  <si>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</si>
  <si>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</si>
  <si>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</si>
  <si>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</si>
  <si>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</si>
  <si>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</si>
  <si>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</si>
  <si>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</si>
  <si>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</si>
  <si>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</si>
  <si>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</si>
  <si>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</si>
  <si>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</si>
  <si>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</si>
  <si>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</si>
  <si>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</si>
  <si>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</si>
  <si>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</si>
  <si>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</si>
  <si>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</si>
  <si>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</si>
  <si>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</si>
  <si>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</si>
  <si>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</si>
  <si>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</si>
  <si>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</si>
  <si>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</si>
  <si>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</si>
  <si>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</si>
  <si>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</si>
  <si>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</si>
  <si>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</si>
  <si>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</si>
  <si>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</si>
  <si>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</si>
  <si>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</si>
  <si>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</si>
  <si>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</si>
  <si>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</si>
  <si>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</si>
  <si>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</si>
  <si>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</si>
  <si>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</si>
  <si>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곳은 정산 비율을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그게 우연이 아니다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</si>
  <si>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</si>
  <si>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</si>
  <si>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</si>
  <si>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</si>
  <si>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</si>
  <si>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조건 없이 지원만 주는 극단값이다</t>
  </si>
  <si>
    <r>
      <rPr>
        <sz val="10"/>
        <rFont val="WenQuanYi Zen Hei"/>
        <family val="2"/>
      </rPr>
      <t xml:space="preserve">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등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그러면서 제약이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</si>
  <si>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단기적으로 크리에이터에게 가장 매력적이지만 재원이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조건 경쟁으로 맞붙기보다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지속 가능한 정산 구조를 명시하는 쪽이 중장기 신뢰에서 유리할 수 있음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</si>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</sst>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0"/>
    <numFmt numFmtId="172" formatCode="#,##0"/>
    <numFmt numFmtId="173" formatCode="0.0%"/>
    <numFmt numFmtId="174" formatCode="#,##0;;\-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b val="true"/>
      <sz val="10"/>
      <color rgb="FFFFFFFF"/>
      <name val="맑은 고딕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32"/>
    <col collapsed="false" customWidth="true" hidden="false" outlineLevel="0" max="4" min="4" style="0" width="34"/>
    <col collapsed="false" customWidth="true" hidden="false" outlineLevel="0" max="5" min="5" style="0" width="38"/>
    <col collapsed="false" customWidth="true" hidden="false" outlineLevel="0" max="6" min="6" style="0" width="30"/>
    <col collapsed="false" customWidth="true" hidden="false" outlineLevel="0" max="7" min="7" style="0" width="34"/>
    <col collapsed="false" customWidth="true" hidden="false" outlineLevel="0" max="8" min="8" style="0" width="30"/>
    <col collapsed="false" customWidth="true" hidden="false" outlineLevel="0" max="9" min="9" style="0" width="44"/>
    <col collapsed="false" customWidth="true" hidden="false" outlineLevel="0" max="10" min="10" style="0" width="2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</row>
    <row r="6" customFormat="false" ht="39.55" hidden="false" customHeight="false" outlineLevel="0" collapsed="false">
      <c r="A6" s="4" t="s">
        <v>13</v>
      </c>
      <c r="B6" s="5" t="s">
        <v>14</v>
      </c>
      <c r="C6" s="5" t="s">
        <v>14</v>
      </c>
      <c r="D6" s="5" t="s">
        <v>15</v>
      </c>
      <c r="E6" s="5" t="s">
        <v>16</v>
      </c>
      <c r="F6" s="5" t="s">
        <v>14</v>
      </c>
      <c r="G6" s="5" t="s">
        <v>17</v>
      </c>
      <c r="H6" s="5" t="s">
        <v>18</v>
      </c>
      <c r="I6" s="5" t="s">
        <v>19</v>
      </c>
      <c r="J6" s="5" t="s">
        <v>20</v>
      </c>
    </row>
    <row r="7" customFormat="false" ht="15" hidden="false" customHeight="false" outlineLevel="0" collapsed="false">
      <c r="A7" s="4" t="s">
        <v>21</v>
      </c>
      <c r="B7" s="6" t="s">
        <v>22</v>
      </c>
      <c r="C7" s="6" t="s">
        <v>23</v>
      </c>
      <c r="D7" s="6" t="s">
        <v>23</v>
      </c>
      <c r="E7" s="7" t="s">
        <v>24</v>
      </c>
      <c r="F7" s="7" t="s">
        <v>25</v>
      </c>
      <c r="G7" s="5" t="s">
        <v>26</v>
      </c>
      <c r="H7" s="7" t="s">
        <v>24</v>
      </c>
      <c r="I7" s="5" t="s">
        <v>27</v>
      </c>
      <c r="J7" s="7" t="s">
        <v>24</v>
      </c>
    </row>
    <row r="8" customFormat="false" ht="26.85" hidden="false" customHeight="false" outlineLevel="0" collapsed="false">
      <c r="A8" s="8" t="s">
        <v>28</v>
      </c>
      <c r="B8" s="9" t="s">
        <v>29</v>
      </c>
      <c r="C8" s="9" t="s">
        <v>30</v>
      </c>
      <c r="D8" s="9" t="s">
        <v>31</v>
      </c>
      <c r="E8" s="9" t="s">
        <v>32</v>
      </c>
      <c r="F8" s="9" t="s">
        <v>26</v>
      </c>
      <c r="G8" s="9" t="s">
        <v>26</v>
      </c>
      <c r="H8" s="9" t="s">
        <v>26</v>
      </c>
      <c r="I8" s="9" t="s">
        <v>33</v>
      </c>
      <c r="J8" s="9" t="s">
        <v>34</v>
      </c>
    </row>
    <row r="9" customFormat="false" ht="52.2" hidden="false" customHeight="false" outlineLevel="0" collapsed="false">
      <c r="A9" s="8" t="s">
        <v>35</v>
      </c>
      <c r="B9" s="9" t="s">
        <v>36</v>
      </c>
      <c r="C9" s="9" t="s">
        <v>37</v>
      </c>
      <c r="D9" s="9" t="s">
        <v>38</v>
      </c>
      <c r="E9" s="9" t="s">
        <v>39</v>
      </c>
      <c r="F9" s="9" t="s">
        <v>26</v>
      </c>
      <c r="G9" s="9" t="s">
        <v>26</v>
      </c>
      <c r="H9" s="9" t="s">
        <v>26</v>
      </c>
      <c r="I9" s="9" t="s">
        <v>40</v>
      </c>
      <c r="J9" s="9" t="s">
        <v>26</v>
      </c>
    </row>
    <row r="10" customFormat="false" ht="39.55" hidden="false" customHeight="false" outlineLevel="0" collapsed="false">
      <c r="A10" s="8" t="s">
        <v>41</v>
      </c>
      <c r="B10" s="9" t="s">
        <v>42</v>
      </c>
      <c r="C10" s="9" t="s">
        <v>43</v>
      </c>
      <c r="D10" s="9" t="s">
        <v>44</v>
      </c>
      <c r="E10" s="9" t="s">
        <v>44</v>
      </c>
      <c r="F10" s="9" t="s">
        <v>26</v>
      </c>
      <c r="G10" s="9" t="s">
        <v>26</v>
      </c>
      <c r="H10" s="9" t="s">
        <v>26</v>
      </c>
      <c r="I10" s="9" t="s">
        <v>45</v>
      </c>
      <c r="J10" s="9" t="s">
        <v>26</v>
      </c>
    </row>
    <row r="11" customFormat="false" ht="39.55" hidden="false" customHeight="false" outlineLevel="0" collapsed="false">
      <c r="A11" s="8" t="s">
        <v>46</v>
      </c>
      <c r="B11" s="9" t="s">
        <v>47</v>
      </c>
      <c r="C11" s="9" t="s">
        <v>47</v>
      </c>
      <c r="D11" s="9" t="s">
        <v>47</v>
      </c>
      <c r="E11" s="10" t="s">
        <v>48</v>
      </c>
      <c r="F11" s="9" t="s">
        <v>26</v>
      </c>
      <c r="G11" s="9" t="s">
        <v>26</v>
      </c>
      <c r="H11" s="9" t="s">
        <v>26</v>
      </c>
      <c r="I11" s="9" t="s">
        <v>49</v>
      </c>
      <c r="J11" s="9" t="s">
        <v>26</v>
      </c>
    </row>
    <row r="12" customFormat="false" ht="90.25" hidden="false" customHeight="false" outlineLevel="0" collapsed="false">
      <c r="A12" s="8" t="s">
        <v>50</v>
      </c>
      <c r="B12" s="9" t="s">
        <v>51</v>
      </c>
      <c r="C12" s="10" t="s">
        <v>52</v>
      </c>
      <c r="D12" s="10" t="s">
        <v>53</v>
      </c>
      <c r="E12" s="9" t="s">
        <v>54</v>
      </c>
      <c r="F12" s="10" t="s">
        <v>55</v>
      </c>
      <c r="G12" s="9" t="s">
        <v>26</v>
      </c>
      <c r="H12" s="9" t="s">
        <v>26</v>
      </c>
      <c r="I12" s="9" t="s">
        <v>56</v>
      </c>
      <c r="J12" s="9" t="s">
        <v>26</v>
      </c>
    </row>
    <row r="13" customFormat="false" ht="26.85" hidden="false" customHeight="false" outlineLevel="0" collapsed="false">
      <c r="A13" s="8" t="s">
        <v>57</v>
      </c>
      <c r="B13" s="9" t="s">
        <v>58</v>
      </c>
      <c r="C13" s="9" t="s">
        <v>59</v>
      </c>
      <c r="D13" s="9" t="s">
        <v>60</v>
      </c>
      <c r="E13" s="9" t="s">
        <v>61</v>
      </c>
      <c r="F13" s="9" t="s">
        <v>61</v>
      </c>
      <c r="G13" s="9" t="s">
        <v>26</v>
      </c>
      <c r="H13" s="9" t="s">
        <v>26</v>
      </c>
      <c r="I13" s="9" t="s">
        <v>62</v>
      </c>
      <c r="J13" s="9" t="s">
        <v>26</v>
      </c>
    </row>
    <row r="14" customFormat="false" ht="77.6" hidden="false" customHeight="false" outlineLevel="0" collapsed="false">
      <c r="A14" s="8" t="s">
        <v>63</v>
      </c>
      <c r="B14" s="9" t="s">
        <v>64</v>
      </c>
      <c r="C14" s="10" t="s">
        <v>65</v>
      </c>
      <c r="D14" s="9" t="s">
        <v>66</v>
      </c>
      <c r="E14" s="9" t="s">
        <v>67</v>
      </c>
      <c r="F14" s="9" t="s">
        <v>68</v>
      </c>
      <c r="G14" s="9" t="s">
        <v>69</v>
      </c>
      <c r="H14" s="9" t="s">
        <v>26</v>
      </c>
      <c r="I14" s="9" t="s">
        <v>70</v>
      </c>
      <c r="J14" s="9" t="s">
        <v>26</v>
      </c>
    </row>
    <row r="15" customFormat="false" ht="39.55" hidden="false" customHeight="false" outlineLevel="0" collapsed="false">
      <c r="A15" s="8" t="s">
        <v>71</v>
      </c>
      <c r="B15" s="9" t="s">
        <v>72</v>
      </c>
      <c r="C15" s="9" t="s">
        <v>47</v>
      </c>
      <c r="D15" s="9" t="s">
        <v>73</v>
      </c>
      <c r="E15" s="9" t="s">
        <v>74</v>
      </c>
      <c r="F15" s="9" t="s">
        <v>26</v>
      </c>
      <c r="G15" s="9" t="s">
        <v>26</v>
      </c>
      <c r="H15" s="9" t="s">
        <v>26</v>
      </c>
      <c r="I15" s="9" t="s">
        <v>75</v>
      </c>
      <c r="J15" s="9" t="s">
        <v>26</v>
      </c>
    </row>
    <row r="16" customFormat="false" ht="52.2" hidden="false" customHeight="false" outlineLevel="0" collapsed="false">
      <c r="A16" s="8" t="s">
        <v>76</v>
      </c>
      <c r="B16" s="9" t="s">
        <v>77</v>
      </c>
      <c r="C16" s="9" t="s">
        <v>78</v>
      </c>
      <c r="D16" s="9" t="s">
        <v>79</v>
      </c>
      <c r="E16" s="9" t="s">
        <v>80</v>
      </c>
      <c r="F16" s="9" t="s">
        <v>26</v>
      </c>
      <c r="G16" s="9" t="s">
        <v>26</v>
      </c>
      <c r="H16" s="9" t="s">
        <v>26</v>
      </c>
      <c r="I16" s="9" t="s">
        <v>81</v>
      </c>
      <c r="J16" s="9" t="s">
        <v>26</v>
      </c>
    </row>
    <row r="17" customFormat="false" ht="64.9" hidden="false" customHeight="false" outlineLevel="0" collapsed="false">
      <c r="A17" s="8" t="s">
        <v>82</v>
      </c>
      <c r="B17" s="9" t="s">
        <v>83</v>
      </c>
      <c r="C17" s="9" t="s">
        <v>84</v>
      </c>
      <c r="D17" s="9" t="s">
        <v>85</v>
      </c>
      <c r="E17" s="10" t="s">
        <v>86</v>
      </c>
      <c r="F17" s="10" t="s">
        <v>87</v>
      </c>
      <c r="G17" s="9" t="s">
        <v>26</v>
      </c>
      <c r="H17" s="9" t="s">
        <v>26</v>
      </c>
      <c r="I17" s="9" t="s">
        <v>88</v>
      </c>
      <c r="J17" s="9" t="s">
        <v>26</v>
      </c>
    </row>
    <row r="18" customFormat="false" ht="39.55" hidden="false" customHeight="false" outlineLevel="0" collapsed="false">
      <c r="A18" s="8" t="s">
        <v>89</v>
      </c>
      <c r="B18" s="9" t="s">
        <v>47</v>
      </c>
      <c r="C18" s="9" t="s">
        <v>90</v>
      </c>
      <c r="D18" s="9" t="s">
        <v>91</v>
      </c>
      <c r="E18" s="9" t="s">
        <v>92</v>
      </c>
      <c r="F18" s="9" t="s">
        <v>26</v>
      </c>
      <c r="G18" s="9" t="s">
        <v>26</v>
      </c>
      <c r="H18" s="9" t="s">
        <v>26</v>
      </c>
      <c r="I18" s="9" t="s">
        <v>93</v>
      </c>
      <c r="J18" s="9" t="s">
        <v>26</v>
      </c>
    </row>
    <row r="19" customFormat="false" ht="88.8" hidden="false" customHeight="false" outlineLevel="0" collapsed="false">
      <c r="A19" s="8" t="s">
        <v>94</v>
      </c>
      <c r="B19" s="9" t="s">
        <v>95</v>
      </c>
      <c r="C19" s="9" t="s">
        <v>44</v>
      </c>
      <c r="D19" s="9" t="s">
        <v>44</v>
      </c>
      <c r="E19" s="9" t="s">
        <v>44</v>
      </c>
      <c r="F19" s="9" t="s">
        <v>26</v>
      </c>
      <c r="G19" s="9" t="s">
        <v>26</v>
      </c>
      <c r="H19" s="9" t="s">
        <v>26</v>
      </c>
      <c r="I19" s="9" t="s">
        <v>26</v>
      </c>
      <c r="J19" s="9" t="s">
        <v>26</v>
      </c>
    </row>
    <row r="20" customFormat="false" ht="52.2" hidden="false" customHeight="false" outlineLevel="0" collapsed="false">
      <c r="A20" s="8" t="s">
        <v>96</v>
      </c>
      <c r="B20" s="11" t="s">
        <v>97</v>
      </c>
      <c r="C20" s="11" t="s">
        <v>44</v>
      </c>
      <c r="D20" s="11" t="s">
        <v>44</v>
      </c>
      <c r="E20" s="11" t="s">
        <v>44</v>
      </c>
      <c r="F20" s="11" t="s">
        <v>26</v>
      </c>
      <c r="G20" s="12" t="s">
        <v>98</v>
      </c>
      <c r="H20" s="11" t="s">
        <v>26</v>
      </c>
      <c r="I20" s="11" t="s">
        <v>99</v>
      </c>
      <c r="J20" s="11" t="s">
        <v>26</v>
      </c>
    </row>
    <row r="21" customFormat="false" ht="26.85" hidden="false" customHeight="false" outlineLevel="0" collapsed="false">
      <c r="A21" s="8" t="s">
        <v>100</v>
      </c>
      <c r="B21" s="9" t="s">
        <v>101</v>
      </c>
      <c r="C21" s="9" t="s">
        <v>102</v>
      </c>
      <c r="D21" s="9" t="s">
        <v>44</v>
      </c>
      <c r="E21" s="9" t="s">
        <v>44</v>
      </c>
      <c r="F21" s="9" t="s">
        <v>26</v>
      </c>
      <c r="G21" s="9" t="s">
        <v>26</v>
      </c>
      <c r="H21" s="9" t="s">
        <v>26</v>
      </c>
      <c r="I21" s="9" t="s">
        <v>26</v>
      </c>
      <c r="J21" s="9" t="s">
        <v>26</v>
      </c>
    </row>
    <row r="22" customFormat="false" ht="39.55" hidden="false" customHeight="false" outlineLevel="0" collapsed="false">
      <c r="A22" s="8" t="s">
        <v>103</v>
      </c>
      <c r="B22" s="9" t="s">
        <v>104</v>
      </c>
      <c r="C22" s="9" t="s">
        <v>105</v>
      </c>
      <c r="D22" s="9" t="s">
        <v>106</v>
      </c>
      <c r="E22" s="9" t="s">
        <v>44</v>
      </c>
      <c r="F22" s="9" t="s">
        <v>26</v>
      </c>
      <c r="G22" s="9" t="s">
        <v>107</v>
      </c>
      <c r="H22" s="9" t="s">
        <v>26</v>
      </c>
      <c r="I22" s="9" t="s">
        <v>108</v>
      </c>
      <c r="J22" s="9" t="s">
        <v>26</v>
      </c>
    </row>
    <row r="23" customFormat="false" ht="26.85" hidden="false" customHeight="false" outlineLevel="0" collapsed="false">
      <c r="A23" s="8" t="s">
        <v>109</v>
      </c>
      <c r="B23" s="9" t="s">
        <v>110</v>
      </c>
      <c r="C23" s="9" t="s">
        <v>111</v>
      </c>
      <c r="D23" s="9" t="s">
        <v>110</v>
      </c>
      <c r="E23" s="9" t="s">
        <v>112</v>
      </c>
      <c r="F23" s="9" t="s">
        <v>113</v>
      </c>
      <c r="G23" s="9" t="s">
        <v>114</v>
      </c>
      <c r="H23" s="9" t="s">
        <v>115</v>
      </c>
      <c r="I23" s="9" t="s">
        <v>116</v>
      </c>
      <c r="J23" s="9" t="s">
        <v>117</v>
      </c>
    </row>
    <row r="25" customFormat="false" ht="15" hidden="false" customHeight="false" outlineLevel="0" collapsed="false">
      <c r="A25" s="13" t="s">
        <v>118</v>
      </c>
    </row>
    <row r="26" customFormat="false" ht="15" hidden="false" customHeight="false" outlineLevel="0" collapsed="false">
      <c r="A26" s="14" t="s">
        <v>119</v>
      </c>
    </row>
    <row r="27" customFormat="false" ht="15" hidden="false" customHeight="false" outlineLevel="0" collapsed="false">
      <c r="A27" s="14" t="s">
        <v>120</v>
      </c>
    </row>
    <row r="28" customFormat="false" ht="15" hidden="false" customHeight="false" outlineLevel="0" collapsed="false">
      <c r="A28" s="14" t="s">
        <v>121</v>
      </c>
    </row>
    <row r="29" customFormat="false" ht="15" hidden="false" customHeight="false" outlineLevel="0" collapsed="false">
      <c r="A29" s="14" t="s">
        <v>122</v>
      </c>
    </row>
    <row r="30" customFormat="false" ht="15" hidden="false" customHeight="false" outlineLevel="0" collapsed="false">
      <c r="A30" s="14" t="s">
        <v>123</v>
      </c>
    </row>
    <row r="31" customFormat="false" ht="15" hidden="false" customHeight="false" outlineLevel="0" collapsed="false">
      <c r="A31" s="14" t="s">
        <v>124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30"/>
    <col collapsed="false" customWidth="true" hidden="false" outlineLevel="0" max="4" min="4" style="0" width="36"/>
    <col collapsed="false" customWidth="true" hidden="false" outlineLevel="0" max="5" min="5" style="0" width="28"/>
    <col collapsed="false" customWidth="true" hidden="false" outlineLevel="0" max="6" min="6" style="0" width="19"/>
    <col collapsed="false" customWidth="true" hidden="false" outlineLevel="0" max="7" min="7" style="0" width="22"/>
    <col collapsed="false" customWidth="true" hidden="false" outlineLevel="0" max="8" min="8" style="0" width="34"/>
    <col collapsed="false" customWidth="true" hidden="false" outlineLevel="0" max="9" min="9" style="0" width="32"/>
    <col collapsed="false" customWidth="true" hidden="false" outlineLevel="0" max="10" min="10" style="0" width="44"/>
    <col collapsed="false" customWidth="true" hidden="false" outlineLevel="0" max="11" min="11" style="0" width="38"/>
  </cols>
  <sheetData>
    <row r="1" customFormat="false" ht="19.4" hidden="false" customHeight="false" outlineLevel="0" collapsed="false">
      <c r="A1" s="1" t="s">
        <v>125</v>
      </c>
    </row>
    <row r="2" customFormat="false" ht="15" hidden="false" customHeight="false" outlineLevel="0" collapsed="false">
      <c r="A2" s="2" t="s">
        <v>126</v>
      </c>
    </row>
    <row r="4" customFormat="false" ht="24" hidden="false" customHeight="true" outlineLevel="0" collapsed="false">
      <c r="A4" s="15" t="s">
        <v>127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</row>
    <row r="5" customFormat="false" ht="26.85" hidden="false" customHeight="false" outlineLevel="0" collapsed="false">
      <c r="A5" s="4" t="s">
        <v>128</v>
      </c>
      <c r="B5" s="4" t="s">
        <v>13</v>
      </c>
      <c r="C5" s="5" t="s">
        <v>129</v>
      </c>
      <c r="D5" s="5" t="s">
        <v>130</v>
      </c>
      <c r="E5" s="5" t="s">
        <v>131</v>
      </c>
      <c r="F5" s="5" t="s">
        <v>26</v>
      </c>
      <c r="G5" s="5" t="s">
        <v>26</v>
      </c>
      <c r="H5" s="5" t="s">
        <v>132</v>
      </c>
      <c r="I5" s="5" t="s">
        <v>133</v>
      </c>
      <c r="J5" s="5" t="s">
        <v>134</v>
      </c>
      <c r="K5" s="5" t="s">
        <v>135</v>
      </c>
    </row>
    <row r="6" customFormat="false" ht="39.55" hidden="false" customHeight="false" outlineLevel="0" collapsed="false">
      <c r="A6" s="8"/>
      <c r="B6" s="8" t="s">
        <v>136</v>
      </c>
      <c r="C6" s="9" t="s">
        <v>137</v>
      </c>
      <c r="D6" s="10" t="s">
        <v>138</v>
      </c>
      <c r="E6" s="9" t="s">
        <v>139</v>
      </c>
      <c r="F6" s="9" t="s">
        <v>26</v>
      </c>
      <c r="G6" s="9" t="s">
        <v>140</v>
      </c>
      <c r="H6" s="9" t="s">
        <v>141</v>
      </c>
      <c r="I6" s="9" t="s">
        <v>142</v>
      </c>
      <c r="J6" s="9" t="s">
        <v>143</v>
      </c>
      <c r="K6" s="9" t="s">
        <v>144</v>
      </c>
    </row>
    <row r="7" customFormat="false" ht="39.55" hidden="false" customHeight="false" outlineLevel="0" collapsed="false">
      <c r="A7" s="8"/>
      <c r="B7" s="8" t="s">
        <v>145</v>
      </c>
      <c r="C7" s="9" t="s">
        <v>146</v>
      </c>
      <c r="D7" s="9" t="s">
        <v>147</v>
      </c>
      <c r="E7" s="9" t="s">
        <v>148</v>
      </c>
      <c r="F7" s="9" t="s">
        <v>26</v>
      </c>
      <c r="G7" s="9" t="s">
        <v>26</v>
      </c>
      <c r="H7" s="9" t="s">
        <v>149</v>
      </c>
      <c r="I7" s="9" t="s">
        <v>150</v>
      </c>
      <c r="J7" s="9" t="s">
        <v>151</v>
      </c>
      <c r="K7" s="9" t="s">
        <v>152</v>
      </c>
    </row>
    <row r="8" customFormat="false" ht="39.55" hidden="false" customHeight="false" outlineLevel="0" collapsed="false">
      <c r="A8" s="8"/>
      <c r="B8" s="8" t="s">
        <v>153</v>
      </c>
      <c r="C8" s="10" t="s">
        <v>154</v>
      </c>
      <c r="D8" s="9" t="s">
        <v>155</v>
      </c>
      <c r="E8" s="10" t="s">
        <v>156</v>
      </c>
      <c r="F8" s="9" t="s">
        <v>26</v>
      </c>
      <c r="G8" s="9" t="s">
        <v>26</v>
      </c>
      <c r="H8" s="9" t="s">
        <v>26</v>
      </c>
      <c r="I8" s="9" t="s">
        <v>157</v>
      </c>
      <c r="J8" s="10" t="s">
        <v>158</v>
      </c>
      <c r="K8" s="9" t="s">
        <v>159</v>
      </c>
    </row>
    <row r="9" customFormat="false" ht="39.55" hidden="false" customHeight="false" outlineLevel="0" collapsed="false">
      <c r="A9" s="8"/>
      <c r="B9" s="8" t="s">
        <v>160</v>
      </c>
      <c r="C9" s="9" t="s">
        <v>161</v>
      </c>
      <c r="D9" s="16" t="s">
        <v>162</v>
      </c>
      <c r="E9" s="9" t="s">
        <v>161</v>
      </c>
      <c r="F9" s="9" t="s">
        <v>26</v>
      </c>
      <c r="G9" s="9" t="s">
        <v>163</v>
      </c>
      <c r="H9" s="9" t="s">
        <v>164</v>
      </c>
      <c r="I9" s="9" t="s">
        <v>165</v>
      </c>
      <c r="J9" s="9" t="s">
        <v>166</v>
      </c>
      <c r="K9" s="16" t="s">
        <v>167</v>
      </c>
    </row>
    <row r="10" customFormat="false" ht="39.55" hidden="false" customHeight="false" outlineLevel="0" collapsed="false">
      <c r="A10" s="8"/>
      <c r="B10" s="8" t="s">
        <v>168</v>
      </c>
      <c r="C10" s="9" t="s">
        <v>169</v>
      </c>
      <c r="D10" s="16" t="s">
        <v>170</v>
      </c>
      <c r="E10" s="9" t="s">
        <v>171</v>
      </c>
      <c r="F10" s="9" t="s">
        <v>26</v>
      </c>
      <c r="G10" s="9" t="s">
        <v>26</v>
      </c>
      <c r="H10" s="9" t="s">
        <v>26</v>
      </c>
      <c r="I10" s="10" t="s">
        <v>172</v>
      </c>
      <c r="J10" s="9" t="s">
        <v>173</v>
      </c>
      <c r="K10" s="16" t="s">
        <v>174</v>
      </c>
    </row>
    <row r="11" customFormat="false" ht="26.85" hidden="false" customHeight="false" outlineLevel="0" collapsed="false">
      <c r="A11" s="8"/>
      <c r="B11" s="8" t="s">
        <v>175</v>
      </c>
      <c r="C11" s="10" t="s">
        <v>176</v>
      </c>
      <c r="D11" s="9" t="s">
        <v>177</v>
      </c>
      <c r="E11" s="9" t="s">
        <v>178</v>
      </c>
      <c r="F11" s="9" t="s">
        <v>26</v>
      </c>
      <c r="G11" s="9" t="s">
        <v>26</v>
      </c>
      <c r="H11" s="9" t="s">
        <v>179</v>
      </c>
      <c r="I11" s="9" t="s">
        <v>26</v>
      </c>
      <c r="J11" s="9" t="s">
        <v>26</v>
      </c>
      <c r="K11" s="9" t="s">
        <v>26</v>
      </c>
    </row>
    <row r="12" customFormat="false" ht="39.55" hidden="false" customHeight="false" outlineLevel="0" collapsed="false">
      <c r="A12" s="8"/>
      <c r="B12" s="8" t="s">
        <v>180</v>
      </c>
      <c r="C12" s="9" t="s">
        <v>181</v>
      </c>
      <c r="D12" s="9" t="s">
        <v>182</v>
      </c>
      <c r="E12" s="9" t="s">
        <v>183</v>
      </c>
      <c r="F12" s="9" t="s">
        <v>26</v>
      </c>
      <c r="G12" s="9" t="s">
        <v>26</v>
      </c>
      <c r="H12" s="9" t="s">
        <v>184</v>
      </c>
      <c r="I12" s="9" t="s">
        <v>26</v>
      </c>
      <c r="J12" s="9" t="s">
        <v>185</v>
      </c>
      <c r="K12" s="9" t="s">
        <v>26</v>
      </c>
    </row>
    <row r="13" customFormat="false" ht="64.9" hidden="false" customHeight="false" outlineLevel="0" collapsed="false">
      <c r="A13" s="8"/>
      <c r="B13" s="8" t="s">
        <v>186</v>
      </c>
      <c r="C13" s="9" t="s">
        <v>47</v>
      </c>
      <c r="D13" s="16" t="s">
        <v>187</v>
      </c>
      <c r="E13" s="9" t="s">
        <v>47</v>
      </c>
      <c r="F13" s="9" t="s">
        <v>26</v>
      </c>
      <c r="G13" s="9" t="s">
        <v>26</v>
      </c>
      <c r="H13" s="9" t="s">
        <v>188</v>
      </c>
      <c r="I13" s="9" t="s">
        <v>189</v>
      </c>
      <c r="J13" s="9" t="s">
        <v>190</v>
      </c>
      <c r="K13" s="9" t="s">
        <v>191</v>
      </c>
    </row>
    <row r="14" customFormat="false" ht="26.85" hidden="false" customHeight="false" outlineLevel="0" collapsed="false">
      <c r="A14" s="8"/>
      <c r="B14" s="8" t="s">
        <v>192</v>
      </c>
      <c r="C14" s="9" t="s">
        <v>193</v>
      </c>
      <c r="D14" s="9" t="s">
        <v>194</v>
      </c>
      <c r="E14" s="9" t="s">
        <v>195</v>
      </c>
      <c r="F14" s="9" t="s">
        <v>26</v>
      </c>
      <c r="G14" s="9" t="s">
        <v>26</v>
      </c>
      <c r="H14" s="9" t="s">
        <v>26</v>
      </c>
      <c r="I14" s="9" t="s">
        <v>26</v>
      </c>
      <c r="J14" s="9" t="s">
        <v>196</v>
      </c>
      <c r="K14" s="9" t="s">
        <v>26</v>
      </c>
    </row>
    <row r="15" customFormat="false" ht="15" hidden="false" customHeight="false" outlineLevel="0" collapsed="false">
      <c r="A15" s="8"/>
      <c r="B15" s="8" t="s">
        <v>197</v>
      </c>
      <c r="C15" s="9" t="s">
        <v>198</v>
      </c>
      <c r="D15" s="9" t="s">
        <v>199</v>
      </c>
      <c r="E15" s="9" t="s">
        <v>26</v>
      </c>
      <c r="F15" s="9" t="s">
        <v>26</v>
      </c>
      <c r="G15" s="9" t="s">
        <v>26</v>
      </c>
      <c r="H15" s="9" t="s">
        <v>26</v>
      </c>
      <c r="I15" s="9" t="s">
        <v>26</v>
      </c>
      <c r="J15" s="9" t="s">
        <v>26</v>
      </c>
      <c r="K15" s="9" t="s">
        <v>26</v>
      </c>
    </row>
    <row r="16" customFormat="false" ht="26.85" hidden="false" customHeight="false" outlineLevel="0" collapsed="false">
      <c r="A16" s="8"/>
      <c r="B16" s="8" t="s">
        <v>200</v>
      </c>
      <c r="C16" s="9" t="s">
        <v>26</v>
      </c>
      <c r="D16" s="9" t="s">
        <v>201</v>
      </c>
      <c r="E16" s="9" t="s">
        <v>26</v>
      </c>
      <c r="F16" s="9" t="s">
        <v>26</v>
      </c>
      <c r="G16" s="9" t="s">
        <v>26</v>
      </c>
      <c r="H16" s="9" t="s">
        <v>26</v>
      </c>
      <c r="I16" s="9" t="s">
        <v>26</v>
      </c>
      <c r="J16" s="9" t="s">
        <v>202</v>
      </c>
      <c r="K16" s="9" t="s">
        <v>26</v>
      </c>
    </row>
    <row r="17" customFormat="false" ht="39.55" hidden="false" customHeight="false" outlineLevel="0" collapsed="false">
      <c r="A17" s="8"/>
      <c r="B17" s="8" t="s">
        <v>203</v>
      </c>
      <c r="C17" s="9" t="s">
        <v>204</v>
      </c>
      <c r="D17" s="10" t="s">
        <v>205</v>
      </c>
      <c r="E17" s="9" t="s">
        <v>206</v>
      </c>
      <c r="F17" s="9" t="s">
        <v>207</v>
      </c>
      <c r="G17" s="9" t="s">
        <v>26</v>
      </c>
      <c r="H17" s="9" t="s">
        <v>26</v>
      </c>
      <c r="I17" s="9" t="s">
        <v>26</v>
      </c>
      <c r="J17" s="9" t="s">
        <v>26</v>
      </c>
      <c r="K17" s="9" t="s">
        <v>26</v>
      </c>
    </row>
    <row r="18" customFormat="false" ht="26.85" hidden="false" customHeight="false" outlineLevel="0" collapsed="false">
      <c r="A18" s="8"/>
      <c r="B18" s="8" t="s">
        <v>208</v>
      </c>
      <c r="C18" s="9" t="s">
        <v>44</v>
      </c>
      <c r="D18" s="9" t="s">
        <v>209</v>
      </c>
      <c r="E18" s="9" t="s">
        <v>210</v>
      </c>
      <c r="F18" s="9" t="s">
        <v>26</v>
      </c>
      <c r="G18" s="9" t="s">
        <v>26</v>
      </c>
      <c r="H18" s="9" t="s">
        <v>211</v>
      </c>
      <c r="I18" s="9" t="s">
        <v>212</v>
      </c>
      <c r="J18" s="9" t="s">
        <v>213</v>
      </c>
      <c r="K18" s="9" t="s">
        <v>214</v>
      </c>
    </row>
    <row r="19" customFormat="false" ht="64.9" hidden="false" customHeight="false" outlineLevel="0" collapsed="false">
      <c r="A19" s="8"/>
      <c r="B19" s="8" t="s">
        <v>215</v>
      </c>
      <c r="C19" s="9" t="s">
        <v>26</v>
      </c>
      <c r="D19" s="9" t="s">
        <v>216</v>
      </c>
      <c r="E19" s="9" t="s">
        <v>26</v>
      </c>
      <c r="F19" s="9" t="s">
        <v>26</v>
      </c>
      <c r="G19" s="9" t="s">
        <v>26</v>
      </c>
      <c r="H19" s="9" t="s">
        <v>217</v>
      </c>
      <c r="I19" s="9" t="s">
        <v>218</v>
      </c>
      <c r="J19" s="9" t="s">
        <v>218</v>
      </c>
      <c r="K19" s="9" t="s">
        <v>219</v>
      </c>
    </row>
    <row r="20" customFormat="false" ht="26.85" hidden="false" customHeight="false" outlineLevel="0" collapsed="false">
      <c r="A20" s="4" t="s">
        <v>220</v>
      </c>
      <c r="B20" s="4" t="s">
        <v>13</v>
      </c>
      <c r="C20" s="5" t="s">
        <v>221</v>
      </c>
      <c r="D20" s="6" t="s">
        <v>222</v>
      </c>
      <c r="E20" s="5" t="s">
        <v>61</v>
      </c>
      <c r="F20" s="5" t="s">
        <v>61</v>
      </c>
      <c r="G20" s="5" t="s">
        <v>223</v>
      </c>
      <c r="H20" s="5" t="s">
        <v>223</v>
      </c>
      <c r="I20" s="5" t="s">
        <v>223</v>
      </c>
      <c r="J20" s="5" t="s">
        <v>224</v>
      </c>
      <c r="K20" s="5" t="s">
        <v>223</v>
      </c>
    </row>
    <row r="21" customFormat="false" ht="39.55" hidden="false" customHeight="false" outlineLevel="0" collapsed="false">
      <c r="A21" s="8"/>
      <c r="B21" s="8" t="s">
        <v>225</v>
      </c>
      <c r="C21" s="9" t="s">
        <v>226</v>
      </c>
      <c r="D21" s="9" t="s">
        <v>227</v>
      </c>
      <c r="E21" s="10" t="s">
        <v>228</v>
      </c>
      <c r="F21" s="10" t="s">
        <v>228</v>
      </c>
      <c r="G21" s="10" t="s">
        <v>228</v>
      </c>
      <c r="H21" s="10" t="s">
        <v>228</v>
      </c>
      <c r="I21" s="10" t="s">
        <v>228</v>
      </c>
      <c r="J21" s="9" t="s">
        <v>229</v>
      </c>
      <c r="K21" s="10" t="s">
        <v>228</v>
      </c>
    </row>
    <row r="22" customFormat="false" ht="15" hidden="false" customHeight="false" outlineLevel="0" collapsed="false">
      <c r="A22" s="8"/>
      <c r="B22" s="8" t="s">
        <v>57</v>
      </c>
      <c r="C22" s="10" t="s">
        <v>230</v>
      </c>
      <c r="D22" s="10" t="s">
        <v>231</v>
      </c>
      <c r="E22" s="10" t="s">
        <v>228</v>
      </c>
      <c r="F22" s="10" t="s">
        <v>228</v>
      </c>
      <c r="G22" s="10" t="s">
        <v>228</v>
      </c>
      <c r="H22" s="10" t="s">
        <v>228</v>
      </c>
      <c r="I22" s="10" t="s">
        <v>228</v>
      </c>
      <c r="J22" s="9" t="s">
        <v>62</v>
      </c>
      <c r="K22" s="10" t="s">
        <v>228</v>
      </c>
    </row>
    <row r="23" customFormat="false" ht="15" hidden="false" customHeight="false" outlineLevel="0" collapsed="false">
      <c r="A23" s="8"/>
      <c r="B23" s="8" t="s">
        <v>232</v>
      </c>
      <c r="C23" s="9" t="s">
        <v>198</v>
      </c>
      <c r="D23" s="9" t="s">
        <v>198</v>
      </c>
      <c r="E23" s="10" t="s">
        <v>228</v>
      </c>
      <c r="F23" s="10" t="s">
        <v>228</v>
      </c>
      <c r="G23" s="10" t="s">
        <v>228</v>
      </c>
      <c r="H23" s="10" t="s">
        <v>228</v>
      </c>
      <c r="I23" s="10" t="s">
        <v>228</v>
      </c>
      <c r="J23" s="9" t="s">
        <v>26</v>
      </c>
      <c r="K23" s="10" t="s">
        <v>228</v>
      </c>
    </row>
    <row r="24" customFormat="false" ht="52.2" hidden="false" customHeight="false" outlineLevel="0" collapsed="false">
      <c r="A24" s="8"/>
      <c r="B24" s="8" t="s">
        <v>63</v>
      </c>
      <c r="C24" s="9" t="s">
        <v>233</v>
      </c>
      <c r="D24" s="9" t="s">
        <v>234</v>
      </c>
      <c r="E24" s="10" t="s">
        <v>228</v>
      </c>
      <c r="F24" s="10" t="s">
        <v>228</v>
      </c>
      <c r="G24" s="10" t="s">
        <v>228</v>
      </c>
      <c r="H24" s="10" t="s">
        <v>228</v>
      </c>
      <c r="I24" s="10" t="s">
        <v>228</v>
      </c>
      <c r="J24" s="9" t="s">
        <v>235</v>
      </c>
      <c r="K24" s="10" t="s">
        <v>228</v>
      </c>
    </row>
    <row r="25" customFormat="false" ht="52.2" hidden="false" customHeight="false" outlineLevel="0" collapsed="false">
      <c r="A25" s="8"/>
      <c r="B25" s="8" t="s">
        <v>168</v>
      </c>
      <c r="C25" s="9" t="s">
        <v>26</v>
      </c>
      <c r="D25" s="16" t="s">
        <v>236</v>
      </c>
      <c r="E25" s="10" t="s">
        <v>228</v>
      </c>
      <c r="F25" s="10" t="s">
        <v>228</v>
      </c>
      <c r="G25" s="10" t="s">
        <v>228</v>
      </c>
      <c r="H25" s="10" t="s">
        <v>228</v>
      </c>
      <c r="I25" s="10" t="s">
        <v>228</v>
      </c>
      <c r="J25" s="9" t="s">
        <v>237</v>
      </c>
      <c r="K25" s="7" t="s">
        <v>228</v>
      </c>
    </row>
    <row r="26" customFormat="false" ht="39.55" hidden="false" customHeight="false" outlineLevel="0" collapsed="false">
      <c r="A26" s="8"/>
      <c r="B26" s="8" t="s">
        <v>238</v>
      </c>
      <c r="C26" s="9" t="s">
        <v>239</v>
      </c>
      <c r="D26" s="9" t="s">
        <v>240</v>
      </c>
      <c r="E26" s="10" t="s">
        <v>228</v>
      </c>
      <c r="F26" s="10" t="s">
        <v>228</v>
      </c>
      <c r="G26" s="10" t="s">
        <v>228</v>
      </c>
      <c r="H26" s="10" t="s">
        <v>228</v>
      </c>
      <c r="I26" s="10" t="s">
        <v>228</v>
      </c>
      <c r="J26" s="9" t="s">
        <v>241</v>
      </c>
      <c r="K26" s="10" t="s">
        <v>228</v>
      </c>
    </row>
    <row r="27" customFormat="false" ht="39.55" hidden="false" customHeight="false" outlineLevel="0" collapsed="false">
      <c r="A27" s="8"/>
      <c r="B27" s="8" t="s">
        <v>242</v>
      </c>
      <c r="C27" s="9" t="s">
        <v>243</v>
      </c>
      <c r="D27" s="9" t="s">
        <v>44</v>
      </c>
      <c r="E27" s="10" t="s">
        <v>228</v>
      </c>
      <c r="F27" s="10" t="s">
        <v>228</v>
      </c>
      <c r="G27" s="10" t="s">
        <v>228</v>
      </c>
      <c r="H27" s="10" t="s">
        <v>228</v>
      </c>
      <c r="I27" s="10" t="s">
        <v>228</v>
      </c>
      <c r="J27" s="10" t="s">
        <v>244</v>
      </c>
      <c r="K27" s="10" t="s">
        <v>228</v>
      </c>
    </row>
    <row r="28" customFormat="false" ht="26.85" hidden="false" customHeight="false" outlineLevel="0" collapsed="false">
      <c r="A28" s="8"/>
      <c r="B28" s="8" t="s">
        <v>245</v>
      </c>
      <c r="C28" s="9" t="s">
        <v>246</v>
      </c>
      <c r="D28" s="9" t="s">
        <v>44</v>
      </c>
      <c r="E28" s="10" t="s">
        <v>228</v>
      </c>
      <c r="F28" s="10" t="s">
        <v>228</v>
      </c>
      <c r="G28" s="10" t="s">
        <v>228</v>
      </c>
      <c r="H28" s="10" t="s">
        <v>228</v>
      </c>
      <c r="I28" s="10" t="s">
        <v>228</v>
      </c>
      <c r="J28" s="9" t="s">
        <v>247</v>
      </c>
      <c r="K28" s="10" t="s">
        <v>228</v>
      </c>
    </row>
    <row r="29" customFormat="false" ht="26.85" hidden="false" customHeight="false" outlineLevel="0" collapsed="false">
      <c r="A29" s="8"/>
      <c r="B29" s="8" t="s">
        <v>248</v>
      </c>
      <c r="C29" s="9" t="s">
        <v>26</v>
      </c>
      <c r="D29" s="9" t="s">
        <v>249</v>
      </c>
      <c r="E29" s="10" t="s">
        <v>228</v>
      </c>
      <c r="F29" s="10" t="s">
        <v>228</v>
      </c>
      <c r="G29" s="10" t="s">
        <v>228</v>
      </c>
      <c r="H29" s="10" t="s">
        <v>228</v>
      </c>
      <c r="I29" s="10" t="s">
        <v>228</v>
      </c>
      <c r="J29" s="9" t="s">
        <v>26</v>
      </c>
      <c r="K29" s="10" t="s">
        <v>228</v>
      </c>
    </row>
    <row r="30" customFormat="false" ht="26.85" hidden="false" customHeight="false" outlineLevel="0" collapsed="false">
      <c r="A30" s="8"/>
      <c r="B30" s="8" t="s">
        <v>250</v>
      </c>
      <c r="C30" s="10" t="s">
        <v>251</v>
      </c>
      <c r="D30" s="10" t="s">
        <v>252</v>
      </c>
      <c r="E30" s="10" t="s">
        <v>228</v>
      </c>
      <c r="F30" s="10" t="s">
        <v>228</v>
      </c>
      <c r="G30" s="10" t="s">
        <v>228</v>
      </c>
      <c r="H30" s="10" t="s">
        <v>228</v>
      </c>
      <c r="I30" s="10" t="s">
        <v>228</v>
      </c>
      <c r="J30" s="9" t="s">
        <v>253</v>
      </c>
      <c r="K30" s="10" t="s">
        <v>228</v>
      </c>
    </row>
    <row r="31" customFormat="false" ht="39.55" hidden="false" customHeight="false" outlineLevel="0" collapsed="false">
      <c r="A31" s="8"/>
      <c r="B31" s="8" t="s">
        <v>254</v>
      </c>
      <c r="C31" s="9" t="s">
        <v>255</v>
      </c>
      <c r="D31" s="9" t="s">
        <v>44</v>
      </c>
      <c r="E31" s="10" t="s">
        <v>228</v>
      </c>
      <c r="F31" s="10" t="s">
        <v>228</v>
      </c>
      <c r="G31" s="10" t="s">
        <v>228</v>
      </c>
      <c r="H31" s="10" t="s">
        <v>228</v>
      </c>
      <c r="I31" s="10" t="s">
        <v>228</v>
      </c>
      <c r="J31" s="9" t="s">
        <v>44</v>
      </c>
      <c r="K31" s="10" t="s">
        <v>228</v>
      </c>
    </row>
    <row r="32" customFormat="false" ht="39.55" hidden="false" customHeight="false" outlineLevel="0" collapsed="false">
      <c r="A32" s="8"/>
      <c r="B32" s="8" t="s">
        <v>256</v>
      </c>
      <c r="C32" s="9" t="s">
        <v>61</v>
      </c>
      <c r="D32" s="10" t="s">
        <v>257</v>
      </c>
      <c r="E32" s="10" t="s">
        <v>228</v>
      </c>
      <c r="F32" s="10" t="s">
        <v>228</v>
      </c>
      <c r="G32" s="10" t="s">
        <v>228</v>
      </c>
      <c r="H32" s="10" t="s">
        <v>228</v>
      </c>
      <c r="I32" s="10" t="s">
        <v>228</v>
      </c>
      <c r="J32" s="10" t="s">
        <v>258</v>
      </c>
      <c r="K32" s="10" t="s">
        <v>228</v>
      </c>
    </row>
    <row r="34" customFormat="false" ht="15" hidden="false" customHeight="false" outlineLevel="0" collapsed="false">
      <c r="A34" s="13" t="s">
        <v>118</v>
      </c>
    </row>
    <row r="35" customFormat="false" ht="15" hidden="false" customHeight="false" outlineLevel="0" collapsed="false">
      <c r="A35" s="14" t="s">
        <v>259</v>
      </c>
    </row>
    <row r="36" customFormat="false" ht="15" hidden="false" customHeight="false" outlineLevel="0" collapsed="false">
      <c r="A36" s="14" t="s">
        <v>260</v>
      </c>
    </row>
    <row r="37" customFormat="false" ht="15" hidden="false" customHeight="false" outlineLevel="0" collapsed="false">
      <c r="A37" s="14" t="s">
        <v>261</v>
      </c>
    </row>
    <row r="38" customFormat="false" ht="15" hidden="false" customHeight="false" outlineLevel="0" collapsed="false">
      <c r="A38" s="14" t="s">
        <v>262</v>
      </c>
    </row>
    <row r="39" customFormat="false" ht="15" hidden="false" customHeight="false" outlineLevel="0" collapsed="false">
      <c r="A39" s="14" t="s">
        <v>263</v>
      </c>
    </row>
    <row r="40" customFormat="false" ht="15" hidden="false" customHeight="false" outlineLevel="0" collapsed="false">
      <c r="A40" s="14" t="s">
        <v>264</v>
      </c>
    </row>
    <row r="41" customFormat="false" ht="15" hidden="false" customHeight="false" outlineLevel="0" collapsed="false">
      <c r="A41" s="14" t="s">
        <v>265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266</v>
      </c>
    </row>
    <row r="2" customFormat="false" ht="15" hidden="false" customHeight="false" outlineLevel="0" collapsed="false">
      <c r="A2" s="2" t="s">
        <v>267</v>
      </c>
    </row>
    <row r="4" customFormat="false" ht="15" hidden="false" customHeight="false" outlineLevel="0" collapsed="false">
      <c r="A4" s="13" t="s">
        <v>268</v>
      </c>
    </row>
    <row r="5" customFormat="false" ht="15" hidden="false" customHeight="false" outlineLevel="0" collapsed="false">
      <c r="A5" s="17" t="s">
        <v>269</v>
      </c>
      <c r="B5" s="18" t="n">
        <v>0.6</v>
      </c>
      <c r="C5" s="2" t="s">
        <v>270</v>
      </c>
      <c r="D5" s="2" t="s">
        <v>271</v>
      </c>
    </row>
    <row r="6" customFormat="false" ht="15" hidden="false" customHeight="false" outlineLevel="0" collapsed="false">
      <c r="A6" s="17" t="s">
        <v>272</v>
      </c>
      <c r="B6" s="18" t="n">
        <v>7</v>
      </c>
      <c r="C6" s="2" t="s">
        <v>270</v>
      </c>
      <c r="D6" s="2" t="s">
        <v>273</v>
      </c>
    </row>
    <row r="7" customFormat="false" ht="15" hidden="false" customHeight="false" outlineLevel="0" collapsed="false">
      <c r="A7" s="17" t="s">
        <v>274</v>
      </c>
      <c r="B7" s="18" t="n">
        <v>0</v>
      </c>
      <c r="C7" s="2" t="s">
        <v>270</v>
      </c>
      <c r="D7" s="2" t="s">
        <v>275</v>
      </c>
    </row>
    <row r="8" customFormat="false" ht="15" hidden="false" customHeight="false" outlineLevel="0" collapsed="false">
      <c r="A8" s="17" t="s">
        <v>276</v>
      </c>
      <c r="B8" s="18" t="n">
        <v>0</v>
      </c>
      <c r="C8" s="2" t="s">
        <v>270</v>
      </c>
      <c r="D8" s="2" t="s">
        <v>277</v>
      </c>
    </row>
    <row r="9" customFormat="false" ht="15" hidden="false" customHeight="false" outlineLevel="0" collapsed="false">
      <c r="A9" s="17" t="s">
        <v>278</v>
      </c>
      <c r="B9" s="18" t="n">
        <v>0</v>
      </c>
      <c r="C9" s="2" t="s">
        <v>270</v>
      </c>
      <c r="D9" s="2" t="s">
        <v>279</v>
      </c>
    </row>
    <row r="10" customFormat="false" ht="15" hidden="false" customHeight="false" outlineLevel="0" collapsed="false">
      <c r="A10" s="17" t="s">
        <v>280</v>
      </c>
      <c r="B10" s="18" t="n">
        <v>0</v>
      </c>
      <c r="C10" s="2" t="s">
        <v>270</v>
      </c>
      <c r="D10" s="2" t="s">
        <v>281</v>
      </c>
    </row>
    <row r="11" customFormat="false" ht="15" hidden="false" customHeight="false" outlineLevel="0" collapsed="false">
      <c r="A11" s="17" t="s">
        <v>282</v>
      </c>
      <c r="B11" s="18" t="n">
        <v>1</v>
      </c>
      <c r="C11" s="2" t="s">
        <v>270</v>
      </c>
      <c r="D11" s="2" t="s">
        <v>283</v>
      </c>
    </row>
    <row r="13" customFormat="false" ht="31.5" hidden="false" customHeight="true" outlineLevel="0" collapsed="false">
      <c r="A13" s="3" t="s">
        <v>284</v>
      </c>
      <c r="B13" s="3" t="s">
        <v>285</v>
      </c>
      <c r="C13" s="3" t="s">
        <v>286</v>
      </c>
      <c r="D13" s="3" t="s">
        <v>220</v>
      </c>
      <c r="E13" s="3" t="s">
        <v>287</v>
      </c>
      <c r="F13" s="3" t="s">
        <v>288</v>
      </c>
      <c r="G13" s="3" t="s">
        <v>289</v>
      </c>
      <c r="H13" s="3" t="s">
        <v>290</v>
      </c>
      <c r="I13" s="3" t="s">
        <v>291</v>
      </c>
    </row>
    <row r="14" customFormat="false" ht="15" hidden="false" customHeight="false" outlineLevel="0" collapsed="false">
      <c r="A14" s="19" t="s">
        <v>4</v>
      </c>
      <c r="B14" s="20" t="s">
        <v>292</v>
      </c>
      <c r="C14" s="21" t="n">
        <v>20</v>
      </c>
      <c r="D14" s="21" t="n">
        <v>21</v>
      </c>
      <c r="E14" s="21" t="n">
        <v>22</v>
      </c>
      <c r="F14" s="22" t="n">
        <f aca="false">C14*$B$5</f>
        <v>12</v>
      </c>
      <c r="G14" s="22" t="n">
        <f aca="false">D14*$B$5</f>
        <v>12.6</v>
      </c>
      <c r="H14" s="22" t="n">
        <f aca="false">E14*$B$5</f>
        <v>13.2</v>
      </c>
      <c r="I14" s="23" t="n">
        <f aca="false">IF(C14=0,"",E14/C14-1)</f>
        <v>0.1</v>
      </c>
    </row>
    <row r="15" customFormat="false" ht="15" hidden="false" customHeight="false" outlineLevel="0" collapsed="false">
      <c r="A15" s="19" t="s">
        <v>4</v>
      </c>
      <c r="B15" s="20" t="s">
        <v>293</v>
      </c>
      <c r="C15" s="21" t="n">
        <v>12</v>
      </c>
      <c r="D15" s="21" t="n">
        <v>13</v>
      </c>
      <c r="E15" s="21" t="n">
        <v>14</v>
      </c>
      <c r="F15" s="22" t="n">
        <f aca="false">C15*$B$5</f>
        <v>7.2</v>
      </c>
      <c r="G15" s="22" t="n">
        <f aca="false">D15*$B$5</f>
        <v>7.8</v>
      </c>
      <c r="H15" s="22" t="n">
        <f aca="false">E15*$B$5</f>
        <v>8.4</v>
      </c>
      <c r="I15" s="23" t="n">
        <f aca="false">IF(C15=0,"",E15/C15-1)</f>
        <v>0.166666666666667</v>
      </c>
    </row>
    <row r="16" customFormat="false" ht="15" hidden="false" customHeight="false" outlineLevel="0" collapsed="false">
      <c r="A16" s="19" t="s">
        <v>4</v>
      </c>
      <c r="B16" s="20" t="s">
        <v>294</v>
      </c>
      <c r="C16" s="21" t="n">
        <v>10</v>
      </c>
      <c r="D16" s="21" t="n">
        <v>11</v>
      </c>
      <c r="E16" s="21" t="n">
        <v>12</v>
      </c>
      <c r="F16" s="22" t="n">
        <f aca="false">C16*$B$5</f>
        <v>6</v>
      </c>
      <c r="G16" s="22" t="n">
        <f aca="false">D16*$B$5</f>
        <v>6.6</v>
      </c>
      <c r="H16" s="22" t="n">
        <f aca="false">E16*$B$5</f>
        <v>7.2</v>
      </c>
      <c r="I16" s="23" t="n">
        <f aca="false">IF(C16=0,"",E16/C16-1)</f>
        <v>0.2</v>
      </c>
    </row>
    <row r="17" customFormat="false" ht="15" hidden="false" customHeight="false" outlineLevel="0" collapsed="false">
      <c r="A17" s="19" t="s">
        <v>4</v>
      </c>
      <c r="B17" s="20" t="s">
        <v>295</v>
      </c>
      <c r="C17" s="21" t="n">
        <v>10</v>
      </c>
      <c r="D17" s="21" t="n">
        <v>11</v>
      </c>
      <c r="E17" s="21" t="n">
        <v>12</v>
      </c>
      <c r="F17" s="22" t="n">
        <f aca="false">C17*$B$5</f>
        <v>6</v>
      </c>
      <c r="G17" s="22" t="n">
        <f aca="false">D17*$B$5</f>
        <v>6.6</v>
      </c>
      <c r="H17" s="22" t="n">
        <f aca="false">E17*$B$5</f>
        <v>7.2</v>
      </c>
      <c r="I17" s="23" t="n">
        <f aca="false">IF(C17=0,"",E17/C17-1)</f>
        <v>0.2</v>
      </c>
    </row>
    <row r="18" customFormat="false" ht="15" hidden="false" customHeight="false" outlineLevel="0" collapsed="false">
      <c r="A18" s="19" t="s">
        <v>4</v>
      </c>
      <c r="B18" s="20" t="s">
        <v>296</v>
      </c>
      <c r="C18" s="21" t="n">
        <v>8</v>
      </c>
      <c r="D18" s="21" t="n">
        <v>9</v>
      </c>
      <c r="E18" s="21" t="n">
        <v>10</v>
      </c>
      <c r="F18" s="22" t="n">
        <f aca="false">C18*$B$5</f>
        <v>4.8</v>
      </c>
      <c r="G18" s="22" t="n">
        <f aca="false">D18*$B$5</f>
        <v>5.4</v>
      </c>
      <c r="H18" s="22" t="n">
        <f aca="false">E18*$B$5</f>
        <v>6</v>
      </c>
      <c r="I18" s="23" t="n">
        <f aca="false">IF(C18=0,"",E18/C18-1)</f>
        <v>0.25</v>
      </c>
    </row>
    <row r="19" customFormat="false" ht="15" hidden="false" customHeight="false" outlineLevel="0" collapsed="false">
      <c r="A19" s="19" t="s">
        <v>4</v>
      </c>
      <c r="B19" s="20" t="s">
        <v>297</v>
      </c>
      <c r="C19" s="21" t="n">
        <v>6</v>
      </c>
      <c r="D19" s="21" t="n">
        <v>7</v>
      </c>
      <c r="E19" s="21" t="n">
        <v>8</v>
      </c>
      <c r="F19" s="22" t="n">
        <f aca="false">C19*$B$5</f>
        <v>3.6</v>
      </c>
      <c r="G19" s="22" t="n">
        <f aca="false">D19*$B$5</f>
        <v>4.2</v>
      </c>
      <c r="H19" s="22" t="n">
        <f aca="false">E19*$B$5</f>
        <v>4.8</v>
      </c>
      <c r="I19" s="23" t="n">
        <f aca="false">IF(C19=0,"",E19/C19-1)</f>
        <v>0.333333333333333</v>
      </c>
    </row>
    <row r="20" customFormat="false" ht="15" hidden="false" customHeight="false" outlineLevel="0" collapsed="false">
      <c r="A20" s="19" t="s">
        <v>4</v>
      </c>
      <c r="B20" s="20" t="s">
        <v>298</v>
      </c>
      <c r="C20" s="21" t="n">
        <v>5</v>
      </c>
      <c r="D20" s="21" t="n">
        <v>6</v>
      </c>
      <c r="E20" s="21" t="n">
        <v>7</v>
      </c>
      <c r="F20" s="22" t="n">
        <f aca="false">C20*$B$5</f>
        <v>3</v>
      </c>
      <c r="G20" s="22" t="n">
        <f aca="false">D20*$B$5</f>
        <v>3.6</v>
      </c>
      <c r="H20" s="22" t="n">
        <f aca="false">E20*$B$5</f>
        <v>4.2</v>
      </c>
      <c r="I20" s="23" t="n">
        <f aca="false">IF(C20=0,"",E20/C20-1)</f>
        <v>0.4</v>
      </c>
    </row>
    <row r="21" customFormat="false" ht="15" hidden="false" customHeight="false" outlineLevel="0" collapsed="false">
      <c r="A21" s="19" t="s">
        <v>4</v>
      </c>
      <c r="B21" s="20" t="s">
        <v>299</v>
      </c>
      <c r="C21" s="21" t="n">
        <v>4</v>
      </c>
      <c r="D21" s="21" t="n">
        <v>5</v>
      </c>
      <c r="E21" s="21" t="n">
        <v>6</v>
      </c>
      <c r="F21" s="22" t="n">
        <f aca="false">C21*$B$5</f>
        <v>2.4</v>
      </c>
      <c r="G21" s="22" t="n">
        <f aca="false">D21*$B$5</f>
        <v>3</v>
      </c>
      <c r="H21" s="22" t="n">
        <f aca="false">E21*$B$5</f>
        <v>3.6</v>
      </c>
      <c r="I21" s="23" t="n">
        <f aca="false">IF(C21=0,"",E21/C21-1)</f>
        <v>0.5</v>
      </c>
    </row>
    <row r="22" customFormat="false" ht="15" hidden="false" customHeight="false" outlineLevel="0" collapsed="false">
      <c r="A22" s="19" t="s">
        <v>4</v>
      </c>
      <c r="B22" s="20" t="s">
        <v>300</v>
      </c>
      <c r="C22" s="21" t="n">
        <v>4</v>
      </c>
      <c r="D22" s="21" t="n">
        <v>4</v>
      </c>
      <c r="E22" s="21" t="n">
        <v>4</v>
      </c>
      <c r="F22" s="22" t="n">
        <f aca="false">C22*$B$5</f>
        <v>2.4</v>
      </c>
      <c r="G22" s="22" t="n">
        <f aca="false">D22*$B$5</f>
        <v>2.4</v>
      </c>
      <c r="H22" s="22" t="n">
        <f aca="false">E22*$B$5</f>
        <v>2.4</v>
      </c>
      <c r="I22" s="23" t="n">
        <f aca="false">IF(C22=0,"",E22/C22-1)</f>
        <v>0</v>
      </c>
    </row>
    <row r="23" customFormat="false" ht="15" hidden="false" customHeight="false" outlineLevel="0" collapsed="false">
      <c r="A23" s="19" t="s">
        <v>4</v>
      </c>
      <c r="B23" s="20" t="s">
        <v>301</v>
      </c>
      <c r="C23" s="21" t="n">
        <v>3</v>
      </c>
      <c r="D23" s="21" t="n">
        <v>4</v>
      </c>
      <c r="E23" s="21" t="n">
        <v>5</v>
      </c>
      <c r="F23" s="22" t="n">
        <f aca="false">C23*$B$5</f>
        <v>1.8</v>
      </c>
      <c r="G23" s="22" t="n">
        <f aca="false">D23*$B$5</f>
        <v>2.4</v>
      </c>
      <c r="H23" s="22" t="n">
        <f aca="false">E23*$B$5</f>
        <v>3</v>
      </c>
      <c r="I23" s="23" t="n">
        <f aca="false">IF(C23=0,"",E23/C23-1)</f>
        <v>0.666666666666667</v>
      </c>
    </row>
    <row r="24" customFormat="false" ht="15" hidden="false" customHeight="false" outlineLevel="0" collapsed="false">
      <c r="A24" s="19" t="s">
        <v>4</v>
      </c>
      <c r="B24" s="20" t="s">
        <v>302</v>
      </c>
      <c r="C24" s="21" t="n">
        <v>3</v>
      </c>
      <c r="D24" s="21" t="n">
        <v>3</v>
      </c>
      <c r="E24" s="21" t="n">
        <v>3</v>
      </c>
      <c r="F24" s="22" t="n">
        <f aca="false">C24*$B$5</f>
        <v>1.8</v>
      </c>
      <c r="G24" s="22" t="n">
        <f aca="false">D24*$B$5</f>
        <v>1.8</v>
      </c>
      <c r="H24" s="22" t="n">
        <f aca="false">E24*$B$5</f>
        <v>1.8</v>
      </c>
      <c r="I24" s="23" t="n">
        <f aca="false">IF(C24=0,"",E24/C24-1)</f>
        <v>0</v>
      </c>
    </row>
    <row r="25" customFormat="false" ht="15" hidden="false" customHeight="false" outlineLevel="0" collapsed="false">
      <c r="A25" s="19" t="s">
        <v>4</v>
      </c>
      <c r="B25" s="20" t="s">
        <v>303</v>
      </c>
      <c r="C25" s="21" t="n">
        <v>2</v>
      </c>
      <c r="D25" s="21" t="n">
        <v>2</v>
      </c>
      <c r="E25" s="21" t="n">
        <v>3</v>
      </c>
      <c r="F25" s="22" t="n">
        <f aca="false">C25*$B$5</f>
        <v>1.2</v>
      </c>
      <c r="G25" s="22" t="n">
        <f aca="false">D25*$B$5</f>
        <v>1.2</v>
      </c>
      <c r="H25" s="22" t="n">
        <f aca="false">E25*$B$5</f>
        <v>1.8</v>
      </c>
      <c r="I25" s="23" t="n">
        <f aca="false">IF(C25=0,"",E25/C25-1)</f>
        <v>0.5</v>
      </c>
    </row>
    <row r="26" customFormat="false" ht="15" hidden="false" customHeight="false" outlineLevel="0" collapsed="false">
      <c r="A26" s="19" t="s">
        <v>4</v>
      </c>
      <c r="B26" s="20" t="s">
        <v>304</v>
      </c>
      <c r="C26" s="21" t="n">
        <v>2</v>
      </c>
      <c r="D26" s="21" t="n">
        <v>3</v>
      </c>
      <c r="E26" s="21" t="n">
        <v>3</v>
      </c>
      <c r="F26" s="22" t="n">
        <f aca="false">C26*$B$5</f>
        <v>1.2</v>
      </c>
      <c r="G26" s="22" t="n">
        <f aca="false">D26*$B$5</f>
        <v>1.8</v>
      </c>
      <c r="H26" s="22" t="n">
        <f aca="false">E26*$B$5</f>
        <v>1.8</v>
      </c>
      <c r="I26" s="23" t="n">
        <f aca="false">IF(C26=0,"",E26/C26-1)</f>
        <v>0.5</v>
      </c>
    </row>
    <row r="27" customFormat="false" ht="15" hidden="false" customHeight="false" outlineLevel="0" collapsed="false">
      <c r="A27" s="19" t="s">
        <v>4</v>
      </c>
      <c r="B27" s="20" t="s">
        <v>305</v>
      </c>
      <c r="C27" s="21" t="n">
        <v>2</v>
      </c>
      <c r="D27" s="21" t="n">
        <v>3</v>
      </c>
      <c r="E27" s="21" t="n">
        <v>4</v>
      </c>
      <c r="F27" s="22" t="n">
        <f aca="false">C27*$B$5</f>
        <v>1.2</v>
      </c>
      <c r="G27" s="22" t="n">
        <f aca="false">D27*$B$5</f>
        <v>1.8</v>
      </c>
      <c r="H27" s="22" t="n">
        <f aca="false">E27*$B$5</f>
        <v>2.4</v>
      </c>
      <c r="I27" s="23" t="n">
        <f aca="false">IF(C27=0,"",E27/C27-1)</f>
        <v>1</v>
      </c>
    </row>
    <row r="28" customFormat="false" ht="15" hidden="false" customHeight="false" outlineLevel="0" collapsed="false">
      <c r="A28" s="19" t="s">
        <v>4</v>
      </c>
      <c r="B28" s="20" t="s">
        <v>306</v>
      </c>
      <c r="C28" s="21" t="n">
        <v>2</v>
      </c>
      <c r="D28" s="21" t="n">
        <v>2</v>
      </c>
      <c r="E28" s="21" t="n">
        <v>2</v>
      </c>
      <c r="F28" s="22" t="n">
        <f aca="false">C28*$B$5</f>
        <v>1.2</v>
      </c>
      <c r="G28" s="22" t="n">
        <f aca="false">D28*$B$5</f>
        <v>1.2</v>
      </c>
      <c r="H28" s="22" t="n">
        <f aca="false">E28*$B$5</f>
        <v>1.2</v>
      </c>
      <c r="I28" s="23" t="n">
        <f aca="false">IF(C28=0,"",E28/C28-1)</f>
        <v>0</v>
      </c>
    </row>
    <row r="29" customFormat="false" ht="15" hidden="false" customHeight="false" outlineLevel="0" collapsed="false">
      <c r="A29" s="19" t="s">
        <v>4</v>
      </c>
      <c r="B29" s="20" t="s">
        <v>307</v>
      </c>
      <c r="C29" s="21" t="n">
        <v>1</v>
      </c>
      <c r="D29" s="21" t="n">
        <v>1</v>
      </c>
      <c r="E29" s="21" t="n">
        <v>1</v>
      </c>
      <c r="F29" s="22" t="n">
        <f aca="false">C29*$B$5</f>
        <v>0.6</v>
      </c>
      <c r="G29" s="22" t="n">
        <f aca="false">D29*$B$5</f>
        <v>0.6</v>
      </c>
      <c r="H29" s="22" t="n">
        <f aca="false">E29*$B$5</f>
        <v>0.6</v>
      </c>
      <c r="I29" s="23" t="n">
        <f aca="false">IF(C29=0,"",E29/C29-1)</f>
        <v>0</v>
      </c>
    </row>
    <row r="30" customFormat="false" ht="15" hidden="false" customHeight="false" outlineLevel="0" collapsed="false">
      <c r="A30" s="19" t="s">
        <v>6</v>
      </c>
      <c r="B30" s="20" t="s">
        <v>308</v>
      </c>
      <c r="C30" s="21" t="n">
        <v>3</v>
      </c>
      <c r="D30" s="24" t="s">
        <v>228</v>
      </c>
      <c r="E30" s="21" t="n">
        <v>3</v>
      </c>
      <c r="F30" s="22" t="n">
        <f aca="false">C30*$B$6</f>
        <v>21</v>
      </c>
      <c r="G30" s="22" t="s">
        <v>228</v>
      </c>
      <c r="H30" s="22" t="n">
        <f aca="false">E30*$B$6</f>
        <v>21</v>
      </c>
      <c r="I30" s="23" t="n">
        <f aca="false">IF(C30=0,"",E30/C30-1)</f>
        <v>0</v>
      </c>
    </row>
    <row r="31" customFormat="false" ht="15" hidden="false" customHeight="false" outlineLevel="0" collapsed="false">
      <c r="A31" s="19" t="s">
        <v>6</v>
      </c>
      <c r="B31" s="20" t="s">
        <v>309</v>
      </c>
      <c r="C31" s="21" t="n">
        <v>3</v>
      </c>
      <c r="D31" s="24" t="s">
        <v>228</v>
      </c>
      <c r="E31" s="21" t="n">
        <v>3</v>
      </c>
      <c r="F31" s="22" t="n">
        <f aca="false">C31*$B$6</f>
        <v>21</v>
      </c>
      <c r="G31" s="22" t="s">
        <v>228</v>
      </c>
      <c r="H31" s="22" t="n">
        <f aca="false">E31*$B$6</f>
        <v>21</v>
      </c>
      <c r="I31" s="23" t="n">
        <f aca="false">IF(C31=0,"",E31/C31-1)</f>
        <v>0</v>
      </c>
    </row>
    <row r="32" customFormat="false" ht="15" hidden="false" customHeight="false" outlineLevel="0" collapsed="false">
      <c r="A32" s="19" t="s">
        <v>6</v>
      </c>
      <c r="B32" s="20" t="s">
        <v>310</v>
      </c>
      <c r="C32" s="21" t="n">
        <v>2</v>
      </c>
      <c r="D32" s="24" t="s">
        <v>228</v>
      </c>
      <c r="E32" s="21" t="n">
        <v>2</v>
      </c>
      <c r="F32" s="22" t="n">
        <f aca="false">C32*$B$6</f>
        <v>14</v>
      </c>
      <c r="G32" s="22" t="s">
        <v>228</v>
      </c>
      <c r="H32" s="22" t="n">
        <f aca="false">E32*$B$6</f>
        <v>14</v>
      </c>
      <c r="I32" s="23" t="n">
        <f aca="false">IF(C32=0,"",E32/C32-1)</f>
        <v>0</v>
      </c>
    </row>
    <row r="33" customFormat="false" ht="15" hidden="false" customHeight="false" outlineLevel="0" collapsed="false">
      <c r="A33" s="19" t="s">
        <v>6</v>
      </c>
      <c r="B33" s="20" t="s">
        <v>311</v>
      </c>
      <c r="C33" s="21" t="n">
        <v>0.6</v>
      </c>
      <c r="D33" s="24" t="s">
        <v>228</v>
      </c>
      <c r="E33" s="21" t="n">
        <v>0.6</v>
      </c>
      <c r="F33" s="22" t="n">
        <f aca="false">C33*$B$6</f>
        <v>4.2</v>
      </c>
      <c r="G33" s="22" t="s">
        <v>228</v>
      </c>
      <c r="H33" s="22" t="n">
        <f aca="false">E33*$B$6</f>
        <v>4.2</v>
      </c>
      <c r="I33" s="23" t="n">
        <f aca="false">IF(C33=0,"",E33/C33-1)</f>
        <v>0</v>
      </c>
    </row>
    <row r="34" customFormat="false" ht="15" hidden="false" customHeight="false" outlineLevel="0" collapsed="false">
      <c r="A34" s="25" t="s">
        <v>5</v>
      </c>
      <c r="B34" s="26" t="s">
        <v>312</v>
      </c>
      <c r="C34" s="27" t="s">
        <v>228</v>
      </c>
      <c r="D34" s="27" t="s">
        <v>228</v>
      </c>
      <c r="E34" s="27" t="s">
        <v>228</v>
      </c>
      <c r="F34" s="28" t="n">
        <v>0</v>
      </c>
      <c r="G34" s="28" t="n">
        <v>0</v>
      </c>
      <c r="H34" s="28" t="n">
        <v>0</v>
      </c>
      <c r="I34" s="29" t="s">
        <v>228</v>
      </c>
    </row>
    <row r="35" customFormat="false" ht="15" hidden="false" customHeight="false" outlineLevel="0" collapsed="false">
      <c r="A35" s="25" t="s">
        <v>7</v>
      </c>
      <c r="B35" s="26" t="s">
        <v>313</v>
      </c>
      <c r="C35" s="27" t="s">
        <v>228</v>
      </c>
      <c r="D35" s="27" t="s">
        <v>228</v>
      </c>
      <c r="E35" s="27" t="s">
        <v>228</v>
      </c>
      <c r="F35" s="28" t="n">
        <v>0</v>
      </c>
      <c r="G35" s="28" t="n">
        <v>0</v>
      </c>
      <c r="H35" s="28" t="n">
        <v>0</v>
      </c>
      <c r="I35" s="29" t="s">
        <v>228</v>
      </c>
    </row>
    <row r="36" customFormat="false" ht="15" hidden="false" customHeight="false" outlineLevel="0" collapsed="false">
      <c r="A36" s="25" t="s">
        <v>8</v>
      </c>
      <c r="B36" s="26" t="s">
        <v>314</v>
      </c>
      <c r="C36" s="27" t="s">
        <v>228</v>
      </c>
      <c r="D36" s="27" t="s">
        <v>228</v>
      </c>
      <c r="E36" s="27" t="s">
        <v>228</v>
      </c>
      <c r="F36" s="28" t="n">
        <v>0</v>
      </c>
      <c r="G36" s="28" t="n">
        <v>0</v>
      </c>
      <c r="H36" s="28" t="n">
        <v>0</v>
      </c>
      <c r="I36" s="29" t="s">
        <v>228</v>
      </c>
    </row>
    <row r="37" customFormat="false" ht="15" hidden="false" customHeight="false" outlineLevel="0" collapsed="false">
      <c r="A37" s="25" t="s">
        <v>9</v>
      </c>
      <c r="B37" s="26" t="s">
        <v>315</v>
      </c>
      <c r="C37" s="27" t="s">
        <v>228</v>
      </c>
      <c r="D37" s="27" t="s">
        <v>228</v>
      </c>
      <c r="E37" s="27" t="s">
        <v>228</v>
      </c>
      <c r="F37" s="28" t="n">
        <v>0</v>
      </c>
      <c r="G37" s="28" t="n">
        <v>0</v>
      </c>
      <c r="H37" s="28" t="n">
        <v>0</v>
      </c>
      <c r="I37" s="29" t="s">
        <v>228</v>
      </c>
    </row>
    <row r="38" customFormat="false" ht="15" hidden="false" customHeight="false" outlineLevel="0" collapsed="false">
      <c r="A38" s="25" t="s">
        <v>10</v>
      </c>
      <c r="B38" s="26" t="s">
        <v>316</v>
      </c>
      <c r="C38" s="27" t="s">
        <v>228</v>
      </c>
      <c r="D38" s="27" t="s">
        <v>228</v>
      </c>
      <c r="E38" s="27" t="s">
        <v>228</v>
      </c>
      <c r="F38" s="28" t="n">
        <v>0</v>
      </c>
      <c r="G38" s="28" t="n">
        <v>0</v>
      </c>
      <c r="H38" s="28" t="n">
        <v>0</v>
      </c>
      <c r="I38" s="29" t="s">
        <v>228</v>
      </c>
    </row>
    <row r="39" customFormat="false" ht="15" hidden="false" customHeight="false" outlineLevel="0" collapsed="false">
      <c r="A39" s="25" t="s">
        <v>11</v>
      </c>
      <c r="B39" s="26" t="s">
        <v>316</v>
      </c>
      <c r="C39" s="27" t="s">
        <v>228</v>
      </c>
      <c r="D39" s="27" t="s">
        <v>228</v>
      </c>
      <c r="E39" s="27" t="s">
        <v>228</v>
      </c>
      <c r="F39" s="28" t="n">
        <v>0</v>
      </c>
      <c r="G39" s="28" t="n">
        <v>0</v>
      </c>
      <c r="H39" s="28" t="n">
        <v>0</v>
      </c>
      <c r="I39" s="29" t="s">
        <v>228</v>
      </c>
    </row>
    <row r="40" customFormat="false" ht="15" hidden="false" customHeight="false" outlineLevel="0" collapsed="false">
      <c r="A40" s="25" t="s">
        <v>12</v>
      </c>
      <c r="B40" s="26" t="s">
        <v>316</v>
      </c>
      <c r="C40" s="27" t="s">
        <v>228</v>
      </c>
      <c r="D40" s="27" t="s">
        <v>228</v>
      </c>
      <c r="E40" s="27" t="s">
        <v>228</v>
      </c>
      <c r="F40" s="28" t="n">
        <v>0</v>
      </c>
      <c r="G40" s="28" t="n">
        <v>0</v>
      </c>
      <c r="H40" s="28" t="n">
        <v>0</v>
      </c>
      <c r="I40" s="29" t="s">
        <v>228</v>
      </c>
    </row>
    <row r="42" customFormat="false" ht="15" hidden="false" customHeight="false" outlineLevel="0" collapsed="false">
      <c r="A42" s="13" t="s">
        <v>317</v>
      </c>
    </row>
    <row r="43" customFormat="false" ht="15" hidden="false" customHeight="false" outlineLevel="0" collapsed="false">
      <c r="A43" s="14" t="s">
        <v>318</v>
      </c>
    </row>
    <row r="44" customFormat="false" ht="15" hidden="false" customHeight="false" outlineLevel="0" collapsed="false">
      <c r="A44" s="14" t="s">
        <v>319</v>
      </c>
    </row>
    <row r="45" customFormat="false" ht="15" hidden="false" customHeight="false" outlineLevel="0" collapsed="false">
      <c r="A45" s="14" t="s">
        <v>320</v>
      </c>
    </row>
    <row r="46" customFormat="false" ht="15" hidden="false" customHeight="false" outlineLevel="0" collapsed="false">
      <c r="A46" s="14" t="s">
        <v>321</v>
      </c>
    </row>
    <row r="48" customFormat="false" ht="15" hidden="false" customHeight="false" outlineLevel="0" collapsed="false">
      <c r="A48" s="13" t="s">
        <v>322</v>
      </c>
    </row>
    <row r="49" customFormat="false" ht="15" hidden="false" customHeight="false" outlineLevel="0" collapsed="false">
      <c r="A49" s="14" t="s">
        <v>323</v>
      </c>
    </row>
    <row r="50" customFormat="false" ht="15" hidden="false" customHeight="false" outlineLevel="0" collapsed="false">
      <c r="A50" s="14" t="s">
        <v>324</v>
      </c>
    </row>
    <row r="51" customFormat="false" ht="15" hidden="false" customHeight="false" outlineLevel="0" collapsed="false">
      <c r="A51" s="14" t="s">
        <v>325</v>
      </c>
    </row>
    <row r="52" customFormat="false" ht="15" hidden="false" customHeight="false" outlineLevel="0" collapsed="false">
      <c r="A52" s="14" t="s">
        <v>326</v>
      </c>
    </row>
    <row r="53" customFormat="false" ht="15" hidden="false" customHeight="false" outlineLevel="0" collapsed="false">
      <c r="A53" s="14" t="s">
        <v>327</v>
      </c>
    </row>
    <row r="56" customFormat="false" ht="15" hidden="false" customHeight="false" outlineLevel="0" collapsed="false">
      <c r="A56" s="13" t="s">
        <v>328</v>
      </c>
    </row>
    <row r="57" customFormat="false" ht="15" hidden="false" customHeight="false" outlineLevel="0" collapsed="false">
      <c r="A57" s="2" t="s">
        <v>329</v>
      </c>
    </row>
    <row r="58" customFormat="false" ht="15" hidden="false" customHeight="false" outlineLevel="0" collapsed="false">
      <c r="A58" s="3" t="s">
        <v>330</v>
      </c>
      <c r="B58" s="3" t="s">
        <v>331</v>
      </c>
      <c r="C58" s="3" t="s">
        <v>145</v>
      </c>
    </row>
    <row r="59" customFormat="false" ht="38.05" hidden="false" customHeight="false" outlineLevel="0" collapsed="false">
      <c r="A59" s="8" t="s">
        <v>332</v>
      </c>
      <c r="B59" s="9" t="s">
        <v>333</v>
      </c>
      <c r="C59" s="9" t="s">
        <v>334</v>
      </c>
    </row>
    <row r="60" customFormat="false" ht="76.1" hidden="false" customHeight="false" outlineLevel="0" collapsed="false">
      <c r="A60" s="8" t="s">
        <v>335</v>
      </c>
      <c r="B60" s="9" t="s">
        <v>336</v>
      </c>
      <c r="C60" s="9" t="s">
        <v>337</v>
      </c>
    </row>
    <row r="61" customFormat="false" ht="39.55" hidden="false" customHeight="false" outlineLevel="0" collapsed="false">
      <c r="A61" s="8" t="s">
        <v>338</v>
      </c>
      <c r="B61" s="9" t="s">
        <v>336</v>
      </c>
      <c r="C61" s="9" t="s">
        <v>339</v>
      </c>
    </row>
    <row r="62" customFormat="false" ht="52.2" hidden="false" customHeight="false" outlineLevel="0" collapsed="false">
      <c r="A62" s="8" t="s">
        <v>340</v>
      </c>
      <c r="B62" s="9" t="s">
        <v>341</v>
      </c>
      <c r="C62" s="9" t="s">
        <v>342</v>
      </c>
    </row>
    <row r="63" customFormat="false" ht="50.7" hidden="false" customHeight="false" outlineLevel="0" collapsed="false">
      <c r="A63" s="8" t="s">
        <v>343</v>
      </c>
      <c r="B63" s="9" t="s">
        <v>344</v>
      </c>
      <c r="C63" s="9" t="s">
        <v>345</v>
      </c>
    </row>
    <row r="64" customFormat="false" ht="26.85" hidden="false" customHeight="false" outlineLevel="0" collapsed="false">
      <c r="A64" s="8" t="s">
        <v>346</v>
      </c>
      <c r="B64" s="9" t="s">
        <v>26</v>
      </c>
      <c r="C64" s="10" t="s">
        <v>347</v>
      </c>
    </row>
    <row r="65" customFormat="false" ht="36.55" hidden="false" customHeight="false" outlineLevel="0" collapsed="false">
      <c r="A65" s="8" t="s">
        <v>348</v>
      </c>
      <c r="B65" s="9" t="s">
        <v>26</v>
      </c>
      <c r="C65" s="10" t="s">
        <v>349</v>
      </c>
    </row>
    <row r="66" customFormat="false" ht="50.7" hidden="false" customHeight="false" outlineLevel="0" collapsed="false">
      <c r="A66" s="8" t="s">
        <v>350</v>
      </c>
      <c r="B66" s="9" t="s">
        <v>26</v>
      </c>
      <c r="C66" s="9" t="s">
        <v>351</v>
      </c>
    </row>
    <row r="67" customFormat="false" ht="64.9" hidden="false" customHeight="false" outlineLevel="0" collapsed="false">
      <c r="A67" s="8" t="s">
        <v>352</v>
      </c>
      <c r="B67" s="9" t="s">
        <v>26</v>
      </c>
      <c r="C67" s="10" t="s">
        <v>353</v>
      </c>
    </row>
    <row r="68" customFormat="false" ht="39.55" hidden="false" customHeight="false" outlineLevel="0" collapsed="false">
      <c r="A68" s="8" t="s">
        <v>354</v>
      </c>
      <c r="B68" s="9" t="s">
        <v>59</v>
      </c>
      <c r="C68" s="9" t="s">
        <v>355</v>
      </c>
    </row>
    <row r="69" customFormat="false" ht="39.55" hidden="false" customHeight="false" outlineLevel="0" collapsed="false">
      <c r="A69" s="8" t="s">
        <v>356</v>
      </c>
      <c r="B69" s="9" t="s">
        <v>61</v>
      </c>
      <c r="C69" s="9" t="s">
        <v>357</v>
      </c>
    </row>
    <row r="72" customFormat="false" ht="15" hidden="false" customHeight="false" outlineLevel="0" collapsed="false">
      <c r="A72" s="13" t="s">
        <v>358</v>
      </c>
    </row>
    <row r="73" customFormat="false" ht="15" hidden="false" customHeight="false" outlineLevel="0" collapsed="false">
      <c r="A73" s="2" t="s">
        <v>359</v>
      </c>
    </row>
    <row r="74" customFormat="false" ht="26.85" hidden="false" customHeight="false" outlineLevel="0" collapsed="false">
      <c r="A74" s="3" t="s">
        <v>285</v>
      </c>
      <c r="B74" s="3" t="s">
        <v>360</v>
      </c>
      <c r="C74" s="3" t="s">
        <v>361</v>
      </c>
      <c r="D74" s="3" t="s">
        <v>362</v>
      </c>
      <c r="E74" s="3" t="s">
        <v>363</v>
      </c>
      <c r="F74" s="3" t="s">
        <v>364</v>
      </c>
    </row>
    <row r="75" customFormat="false" ht="15" hidden="false" customHeight="false" outlineLevel="0" collapsed="false">
      <c r="A75" s="8" t="s">
        <v>365</v>
      </c>
      <c r="B75" s="30" t="s">
        <v>366</v>
      </c>
      <c r="C75" s="31" t="n">
        <v>0.05</v>
      </c>
      <c r="D75" s="31" t="n">
        <v>0.1</v>
      </c>
      <c r="E75" s="31" t="n">
        <v>0.2</v>
      </c>
      <c r="F75" s="31" t="n">
        <v>0.5</v>
      </c>
    </row>
    <row r="76" customFormat="false" ht="15" hidden="false" customHeight="false" outlineLevel="0" collapsed="false">
      <c r="A76" s="8" t="s">
        <v>367</v>
      </c>
      <c r="B76" s="32" t="n">
        <v>15</v>
      </c>
      <c r="C76" s="33" t="n">
        <f aca="false">$B76*$B$11*C$75</f>
        <v>0.75</v>
      </c>
      <c r="D76" s="33" t="n">
        <f aca="false">$B76*$B$11*D$75</f>
        <v>1.5</v>
      </c>
      <c r="E76" s="33" t="n">
        <f aca="false">$B76*$B$11*E$75</f>
        <v>3</v>
      </c>
      <c r="F76" s="33" t="n">
        <f aca="false">$B76*$B$11*F$75</f>
        <v>7.5</v>
      </c>
    </row>
    <row r="77" customFormat="false" ht="15" hidden="false" customHeight="false" outlineLevel="0" collapsed="false">
      <c r="A77" s="8" t="s">
        <v>368</v>
      </c>
      <c r="B77" s="32" t="n">
        <v>40</v>
      </c>
      <c r="C77" s="33" t="n">
        <f aca="false">$B77*$B$11*C$75</f>
        <v>2</v>
      </c>
      <c r="D77" s="33" t="n">
        <f aca="false">$B77*$B$11*D$75</f>
        <v>4</v>
      </c>
      <c r="E77" s="33" t="n">
        <f aca="false">$B77*$B$11*E$75</f>
        <v>8</v>
      </c>
      <c r="F77" s="33" t="n">
        <f aca="false">$B77*$B$11*F$75</f>
        <v>20</v>
      </c>
    </row>
    <row r="78" customFormat="false" ht="15" hidden="false" customHeight="false" outlineLevel="0" collapsed="false">
      <c r="A78" s="8" t="s">
        <v>369</v>
      </c>
      <c r="B78" s="32" t="n">
        <v>80</v>
      </c>
      <c r="C78" s="33" t="n">
        <f aca="false">$B78*$B$11*C$75</f>
        <v>4</v>
      </c>
      <c r="D78" s="33" t="n">
        <f aca="false">$B78*$B$11*D$75</f>
        <v>8</v>
      </c>
      <c r="E78" s="33" t="n">
        <f aca="false">$B78*$B$11*E$75</f>
        <v>16</v>
      </c>
      <c r="F78" s="33" t="n">
        <f aca="false">$B78*$B$11*F$75</f>
        <v>40</v>
      </c>
    </row>
    <row r="79" customFormat="false" ht="15" hidden="false" customHeight="false" outlineLevel="0" collapsed="false">
      <c r="A79" s="8" t="s">
        <v>370</v>
      </c>
      <c r="B79" s="32" t="n">
        <v>120</v>
      </c>
      <c r="C79" s="33" t="n">
        <f aca="false">$B79*$B$11*C$75</f>
        <v>6</v>
      </c>
      <c r="D79" s="33" t="n">
        <f aca="false">$B79*$B$11*D$75</f>
        <v>12</v>
      </c>
      <c r="E79" s="33" t="n">
        <f aca="false">$B79*$B$11*E$75</f>
        <v>24</v>
      </c>
      <c r="F79" s="33" t="n">
        <f aca="false">$B79*$B$11*F$75</f>
        <v>60</v>
      </c>
    </row>
    <row r="81" customFormat="false" ht="15" hidden="false" customHeight="false" outlineLevel="0" collapsed="false">
      <c r="A81" s="14" t="s">
        <v>371</v>
      </c>
    </row>
    <row r="82" customFormat="false" ht="15" hidden="false" customHeight="false" outlineLevel="0" collapsed="false">
      <c r="A82" s="14" t="s">
        <v>372</v>
      </c>
    </row>
    <row r="83" customFormat="false" ht="15" hidden="false" customHeight="false" outlineLevel="0" collapsed="false">
      <c r="A83" s="34" t="s">
        <v>373</v>
      </c>
    </row>
    <row r="85" customFormat="false" ht="15" hidden="false" customHeight="false" outlineLevel="0" collapsed="false">
      <c r="A85" s="13" t="s">
        <v>374</v>
      </c>
    </row>
    <row r="86" customFormat="false" ht="15" hidden="false" customHeight="false" outlineLevel="0" collapsed="false">
      <c r="A86" s="2" t="s">
        <v>375</v>
      </c>
    </row>
    <row r="87" customFormat="false" ht="26.85" hidden="false" customHeight="false" outlineLevel="0" collapsed="false">
      <c r="A87" s="3" t="s">
        <v>284</v>
      </c>
      <c r="B87" s="3" t="s">
        <v>376</v>
      </c>
      <c r="C87" s="3" t="s">
        <v>377</v>
      </c>
      <c r="D87" s="3" t="s">
        <v>168</v>
      </c>
      <c r="E87" s="3" t="s">
        <v>378</v>
      </c>
    </row>
    <row r="88" customFormat="false" ht="64.9" hidden="false" customHeight="false" outlineLevel="0" collapsed="false">
      <c r="A88" s="8" t="s">
        <v>12</v>
      </c>
      <c r="B88" s="10" t="s">
        <v>379</v>
      </c>
      <c r="C88" s="9" t="s">
        <v>380</v>
      </c>
      <c r="D88" s="9" t="s">
        <v>381</v>
      </c>
      <c r="E88" s="9" t="s">
        <v>382</v>
      </c>
    </row>
    <row r="89" customFormat="false" ht="64.9" hidden="false" customHeight="false" outlineLevel="0" collapsed="false">
      <c r="A89" s="8" t="s">
        <v>5</v>
      </c>
      <c r="B89" s="10" t="s">
        <v>383</v>
      </c>
      <c r="C89" s="9" t="s">
        <v>384</v>
      </c>
      <c r="D89" s="10" t="s">
        <v>385</v>
      </c>
      <c r="E89" s="9" t="s">
        <v>386</v>
      </c>
    </row>
    <row r="90" customFormat="false" ht="39.55" hidden="false" customHeight="false" outlineLevel="0" collapsed="false">
      <c r="A90" s="8" t="s">
        <v>387</v>
      </c>
      <c r="B90" s="10" t="s">
        <v>379</v>
      </c>
      <c r="C90" s="9" t="s">
        <v>388</v>
      </c>
      <c r="D90" s="9" t="s">
        <v>26</v>
      </c>
      <c r="E90" s="9" t="s">
        <v>59</v>
      </c>
    </row>
    <row r="92" customFormat="false" ht="15" hidden="false" customHeight="false" outlineLevel="0" collapsed="false">
      <c r="A92" s="14" t="s">
        <v>389</v>
      </c>
    </row>
    <row r="93" customFormat="false" ht="15" hidden="false" customHeight="false" outlineLevel="0" collapsed="false">
      <c r="A93" s="14" t="s">
        <v>390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391</v>
      </c>
    </row>
    <row r="3" customFormat="false" ht="15" hidden="false" customHeight="false" outlineLevel="0" collapsed="false">
      <c r="A3" s="35" t="s">
        <v>392</v>
      </c>
    </row>
    <row r="4" customFormat="false" ht="15" hidden="false" customHeight="false" outlineLevel="0" collapsed="false">
      <c r="A4" s="36" t="s">
        <v>393</v>
      </c>
    </row>
    <row r="5" customFormat="false" ht="15" hidden="false" customHeight="false" outlineLevel="0" collapsed="false">
      <c r="A5" s="13" t="s">
        <v>394</v>
      </c>
      <c r="B5" s="37" t="n">
        <v>10</v>
      </c>
      <c r="C5" s="36" t="s">
        <v>395</v>
      </c>
    </row>
    <row r="7" customFormat="false" ht="15" hidden="false" customHeight="false" outlineLevel="0" collapsed="false">
      <c r="A7" s="3" t="s">
        <v>3</v>
      </c>
      <c r="B7" s="3" t="s">
        <v>396</v>
      </c>
      <c r="C7" s="3" t="s">
        <v>397</v>
      </c>
      <c r="D7" s="3" t="s">
        <v>398</v>
      </c>
      <c r="E7" s="3" t="s">
        <v>399</v>
      </c>
      <c r="F7" s="3" t="s">
        <v>400</v>
      </c>
    </row>
    <row r="8" customFormat="false" ht="15" hidden="false" customHeight="false" outlineLevel="0" collapsed="false">
      <c r="A8" s="10" t="s">
        <v>401</v>
      </c>
      <c r="B8" s="38" t="n">
        <v>1</v>
      </c>
      <c r="C8" s="38" t="n">
        <v>2</v>
      </c>
      <c r="D8" s="38" t="n">
        <v>2</v>
      </c>
      <c r="E8" s="38" t="n">
        <v>3</v>
      </c>
      <c r="F8" s="38" t="n">
        <v>5</v>
      </c>
    </row>
    <row r="9" customFormat="false" ht="15" hidden="false" customHeight="false" outlineLevel="0" collapsed="false">
      <c r="A9" s="10" t="s">
        <v>402</v>
      </c>
      <c r="B9" s="39" t="n">
        <v>1000</v>
      </c>
      <c r="C9" s="39" t="n">
        <v>100000</v>
      </c>
      <c r="D9" s="39" t="n">
        <v>500000</v>
      </c>
      <c r="E9" s="39" t="n">
        <v>3000000</v>
      </c>
      <c r="F9" s="39" t="n">
        <v>5000000</v>
      </c>
    </row>
    <row r="10" customFormat="false" ht="15" hidden="false" customHeight="false" outlineLevel="0" collapsed="false">
      <c r="A10" s="10" t="s">
        <v>403</v>
      </c>
      <c r="B10" s="39" t="n">
        <v>10</v>
      </c>
      <c r="C10" s="39" t="n">
        <v>100</v>
      </c>
      <c r="D10" s="39" t="n">
        <v>200</v>
      </c>
      <c r="E10" s="39" t="n">
        <v>500</v>
      </c>
      <c r="F10" s="39" t="n">
        <v>1000</v>
      </c>
    </row>
    <row r="11" customFormat="false" ht="15" hidden="false" customHeight="false" outlineLevel="0" collapsed="false">
      <c r="A11" s="10" t="s">
        <v>404</v>
      </c>
      <c r="B11" s="40" t="n">
        <v>0.7</v>
      </c>
      <c r="C11" s="40" t="n">
        <v>0.75</v>
      </c>
      <c r="D11" s="40" t="n">
        <v>0.8</v>
      </c>
      <c r="E11" s="40" t="n">
        <v>0.85</v>
      </c>
      <c r="F11" s="40" t="n">
        <v>0.9</v>
      </c>
    </row>
    <row r="12" customFormat="false" ht="15" hidden="false" customHeight="false" outlineLevel="0" collapsed="false">
      <c r="A12" s="10" t="s">
        <v>405</v>
      </c>
      <c r="B12" s="40" t="n">
        <v>0.1</v>
      </c>
      <c r="C12" s="40" t="n">
        <v>0.1</v>
      </c>
      <c r="D12" s="40" t="n">
        <v>0.11</v>
      </c>
      <c r="E12" s="40" t="n">
        <v>0.12</v>
      </c>
      <c r="F12" s="40" t="n">
        <v>0.13</v>
      </c>
    </row>
    <row r="13" customFormat="false" ht="15" hidden="false" customHeight="false" outlineLevel="0" collapsed="false">
      <c r="A13" s="10" t="s">
        <v>406</v>
      </c>
      <c r="B13" s="40" t="n">
        <v>0.11</v>
      </c>
      <c r="C13" s="40" t="n">
        <v>0.11</v>
      </c>
      <c r="D13" s="40" t="n">
        <v>0.14</v>
      </c>
      <c r="E13" s="40" t="n">
        <v>0.17</v>
      </c>
      <c r="F13" s="40" t="n">
        <v>0.2</v>
      </c>
    </row>
    <row r="14" customFormat="false" ht="15" hidden="false" customHeight="false" outlineLevel="0" collapsed="false">
      <c r="A14" s="12" t="s">
        <v>407</v>
      </c>
      <c r="B14" s="41" t="n">
        <f aca="false">B12/$B$5</f>
        <v>0.01</v>
      </c>
      <c r="C14" s="41" t="n">
        <f aca="false">C12/$B$5</f>
        <v>0.01</v>
      </c>
      <c r="D14" s="41" t="n">
        <f aca="false">D12/$B$5</f>
        <v>0.011</v>
      </c>
      <c r="E14" s="41" t="n">
        <f aca="false">E12/$B$5</f>
        <v>0.012</v>
      </c>
      <c r="F14" s="41" t="n">
        <f aca="false">F12/$B$5</f>
        <v>0.013</v>
      </c>
    </row>
    <row r="15" customFormat="false" ht="15" hidden="false" customHeight="false" outlineLevel="0" collapsed="false">
      <c r="A15" s="12" t="s">
        <v>408</v>
      </c>
      <c r="B15" s="41" t="n">
        <f aca="false">B13/$B$5</f>
        <v>0.011</v>
      </c>
      <c r="C15" s="41" t="n">
        <f aca="false">C13/$B$5</f>
        <v>0.011</v>
      </c>
      <c r="D15" s="41" t="n">
        <f aca="false">D13/$B$5</f>
        <v>0.014</v>
      </c>
      <c r="E15" s="41" t="n">
        <f aca="false">E13/$B$5</f>
        <v>0.017</v>
      </c>
      <c r="F15" s="41" t="n">
        <f aca="false">F13/$B$5</f>
        <v>0.02</v>
      </c>
    </row>
    <row r="16" customFormat="false" ht="15" hidden="false" customHeight="false" outlineLevel="0" collapsed="false">
      <c r="A16" s="12" t="s">
        <v>409</v>
      </c>
      <c r="B16" s="41" t="n">
        <f aca="false">(B13+0.03)/$B$5</f>
        <v>0.014</v>
      </c>
      <c r="C16" s="41" t="n">
        <f aca="false">(C13+0.03)/$B$5</f>
        <v>0.014</v>
      </c>
      <c r="D16" s="41" t="n">
        <f aca="false">(D13+0.03)/$B$5</f>
        <v>0.017</v>
      </c>
      <c r="E16" s="41" t="n">
        <f aca="false">(E13+0.03)/$B$5</f>
        <v>0.02</v>
      </c>
      <c r="F16" s="41" t="n">
        <f aca="false">(F13+0.03)/$B$5</f>
        <v>0.023</v>
      </c>
    </row>
    <row r="17" customFormat="false" ht="15" hidden="false" customHeight="false" outlineLevel="0" collapsed="false">
      <c r="A17" s="10" t="s">
        <v>410</v>
      </c>
      <c r="B17" s="42" t="s">
        <v>228</v>
      </c>
      <c r="C17" s="42" t="n">
        <v>10000</v>
      </c>
      <c r="D17" s="42" t="n">
        <v>50000</v>
      </c>
      <c r="E17" s="42" t="n">
        <v>300000</v>
      </c>
      <c r="F17" s="42" t="n">
        <v>500000</v>
      </c>
    </row>
    <row r="20" customFormat="false" ht="15" hidden="false" customHeight="false" outlineLevel="0" collapsed="false">
      <c r="A20" s="13" t="s">
        <v>411</v>
      </c>
    </row>
    <row r="22" customFormat="false" ht="15" hidden="false" customHeight="false" outlineLevel="0" collapsed="false">
      <c r="A22" s="35" t="s">
        <v>412</v>
      </c>
    </row>
    <row r="23" customFormat="false" ht="15" hidden="false" customHeight="false" outlineLevel="0" collapsed="false">
      <c r="A23" s="2" t="s">
        <v>413</v>
      </c>
    </row>
    <row r="25" customFormat="false" ht="15" hidden="false" customHeight="false" outlineLevel="0" collapsed="false">
      <c r="A25" s="15" t="s">
        <v>3</v>
      </c>
      <c r="B25" s="15" t="s">
        <v>414</v>
      </c>
      <c r="C25" s="15" t="s">
        <v>415</v>
      </c>
      <c r="D25" s="15" t="s">
        <v>416</v>
      </c>
      <c r="E25" s="15" t="s">
        <v>417</v>
      </c>
      <c r="F25" s="15" t="s">
        <v>418</v>
      </c>
    </row>
    <row r="26" customFormat="false" ht="15" hidden="false" customHeight="false" outlineLevel="0" collapsed="false">
      <c r="A26" s="8" t="s">
        <v>419</v>
      </c>
      <c r="B26" s="43" t="s">
        <v>420</v>
      </c>
      <c r="C26" s="43" t="s">
        <v>420</v>
      </c>
      <c r="D26" s="43" t="s">
        <v>421</v>
      </c>
      <c r="E26" s="43" t="s">
        <v>422</v>
      </c>
      <c r="F26" s="43" t="s">
        <v>423</v>
      </c>
    </row>
    <row r="27" customFormat="false" ht="15" hidden="false" customHeight="false" outlineLevel="0" collapsed="false">
      <c r="A27" s="44" t="s">
        <v>424</v>
      </c>
      <c r="B27" s="39" t="n">
        <v>100000</v>
      </c>
      <c r="C27" s="39" t="n">
        <v>200000</v>
      </c>
      <c r="D27" s="39" t="n">
        <v>300000</v>
      </c>
      <c r="E27" s="39" t="n">
        <v>500000</v>
      </c>
      <c r="F27" s="39" t="n">
        <v>800000</v>
      </c>
    </row>
    <row r="28" customFormat="false" ht="15" hidden="false" customHeight="false" outlineLevel="0" collapsed="false">
      <c r="A28" s="44" t="s">
        <v>425</v>
      </c>
      <c r="B28" s="39" t="n">
        <v>1</v>
      </c>
      <c r="C28" s="39" t="n">
        <v>5</v>
      </c>
      <c r="D28" s="39" t="n">
        <v>5</v>
      </c>
      <c r="E28" s="39" t="n">
        <v>5</v>
      </c>
      <c r="F28" s="39" t="n">
        <v>10</v>
      </c>
    </row>
    <row r="29" customFormat="false" ht="15" hidden="false" customHeight="false" outlineLevel="0" collapsed="false">
      <c r="A29" s="44" t="s">
        <v>426</v>
      </c>
      <c r="B29" s="39" t="n">
        <v>50</v>
      </c>
      <c r="C29" s="39" t="n">
        <v>80</v>
      </c>
      <c r="D29" s="39" t="n">
        <v>100</v>
      </c>
      <c r="E29" s="39" t="n">
        <v>200</v>
      </c>
      <c r="F29" s="39" t="n">
        <v>300</v>
      </c>
    </row>
    <row r="30" customFormat="false" ht="15" hidden="false" customHeight="false" outlineLevel="0" collapsed="false">
      <c r="A30" s="44" t="s">
        <v>427</v>
      </c>
      <c r="B30" s="43" t="s">
        <v>228</v>
      </c>
      <c r="C30" s="39" t="n">
        <v>500000</v>
      </c>
      <c r="D30" s="39" t="n">
        <v>1500000</v>
      </c>
      <c r="E30" s="39" t="n">
        <v>3000000</v>
      </c>
      <c r="F30" s="39" t="n">
        <v>4000000</v>
      </c>
    </row>
    <row r="31" customFormat="false" ht="15" hidden="false" customHeight="false" outlineLevel="0" collapsed="false">
      <c r="A31" s="44" t="s">
        <v>428</v>
      </c>
      <c r="B31" s="43" t="s">
        <v>228</v>
      </c>
      <c r="C31" s="39" t="n">
        <v>100</v>
      </c>
      <c r="D31" s="39" t="n">
        <v>200</v>
      </c>
      <c r="E31" s="39" t="n">
        <v>500</v>
      </c>
      <c r="F31" s="39" t="n">
        <v>800</v>
      </c>
    </row>
    <row r="32" customFormat="false" ht="15" hidden="false" customHeight="false" outlineLevel="0" collapsed="false">
      <c r="A32" s="45" t="s">
        <v>429</v>
      </c>
      <c r="B32" s="46" t="n">
        <v>0.9</v>
      </c>
      <c r="C32" s="46" t="n">
        <v>0.95</v>
      </c>
      <c r="D32" s="46" t="n">
        <v>0.97</v>
      </c>
      <c r="E32" s="46" t="n">
        <v>0.97</v>
      </c>
      <c r="F32" s="46" t="n">
        <v>0.97</v>
      </c>
    </row>
    <row r="33" customFormat="false" ht="15" hidden="false" customHeight="false" outlineLevel="0" collapsed="false">
      <c r="A33" s="44" t="s">
        <v>430</v>
      </c>
      <c r="B33" s="47" t="s">
        <v>431</v>
      </c>
      <c r="C33" s="47" t="s">
        <v>432</v>
      </c>
      <c r="D33" s="47" t="s">
        <v>433</v>
      </c>
      <c r="E33" s="47" t="s">
        <v>434</v>
      </c>
      <c r="F33" s="47" t="s">
        <v>434</v>
      </c>
    </row>
    <row r="34" customFormat="false" ht="15" hidden="false" customHeight="false" outlineLevel="0" collapsed="false">
      <c r="A34" s="44" t="s">
        <v>435</v>
      </c>
      <c r="B34" s="43" t="s">
        <v>436</v>
      </c>
      <c r="C34" s="43" t="s">
        <v>436</v>
      </c>
      <c r="D34" s="43" t="s">
        <v>436</v>
      </c>
      <c r="E34" s="43" t="s">
        <v>436</v>
      </c>
      <c r="F34" s="43" t="s">
        <v>436</v>
      </c>
    </row>
    <row r="35" customFormat="false" ht="15" hidden="false" customHeight="false" outlineLevel="0" collapsed="false">
      <c r="A35" s="44" t="s">
        <v>437</v>
      </c>
      <c r="B35" s="47" t="s">
        <v>438</v>
      </c>
      <c r="C35" s="47" t="s">
        <v>438</v>
      </c>
      <c r="D35" s="47" t="s">
        <v>438</v>
      </c>
      <c r="E35" s="47" t="s">
        <v>439</v>
      </c>
      <c r="F35" s="47" t="s">
        <v>439</v>
      </c>
    </row>
    <row r="36" customFormat="false" ht="15" hidden="false" customHeight="false" outlineLevel="0" collapsed="false">
      <c r="A36" s="44" t="s">
        <v>440</v>
      </c>
      <c r="B36" s="47" t="s">
        <v>441</v>
      </c>
      <c r="C36" s="47" t="s">
        <v>441</v>
      </c>
      <c r="D36" s="47" t="s">
        <v>441</v>
      </c>
      <c r="E36" s="47" t="s">
        <v>442</v>
      </c>
      <c r="F36" s="47" t="s">
        <v>442</v>
      </c>
    </row>
    <row r="37" customFormat="false" ht="15" hidden="false" customHeight="false" outlineLevel="0" collapsed="false">
      <c r="A37" s="44" t="s">
        <v>443</v>
      </c>
      <c r="B37" s="43" t="s">
        <v>228</v>
      </c>
      <c r="C37" s="43" t="s">
        <v>228</v>
      </c>
      <c r="D37" s="43" t="s">
        <v>444</v>
      </c>
      <c r="E37" s="43" t="s">
        <v>445</v>
      </c>
      <c r="F37" s="43" t="s">
        <v>446</v>
      </c>
    </row>
    <row r="38" customFormat="false" ht="15" hidden="false" customHeight="false" outlineLevel="0" collapsed="false">
      <c r="A38" s="44" t="s">
        <v>447</v>
      </c>
      <c r="B38" s="43" t="s">
        <v>228</v>
      </c>
      <c r="C38" s="43" t="s">
        <v>228</v>
      </c>
      <c r="D38" s="47" t="s">
        <v>438</v>
      </c>
      <c r="E38" s="47" t="s">
        <v>438</v>
      </c>
      <c r="F38" s="47" t="s">
        <v>438</v>
      </c>
    </row>
    <row r="39" customFormat="false" ht="15" hidden="false" customHeight="false" outlineLevel="0" collapsed="false">
      <c r="A39" s="44" t="s">
        <v>448</v>
      </c>
      <c r="B39" s="43" t="s">
        <v>228</v>
      </c>
      <c r="C39" s="43" t="s">
        <v>449</v>
      </c>
      <c r="D39" s="43" t="s">
        <v>450</v>
      </c>
      <c r="E39" s="43" t="s">
        <v>451</v>
      </c>
      <c r="F39" s="43" t="s">
        <v>452</v>
      </c>
    </row>
    <row r="40" customFormat="false" ht="15" hidden="false" customHeight="false" outlineLevel="0" collapsed="false">
      <c r="A40" s="44" t="s">
        <v>453</v>
      </c>
      <c r="B40" s="43" t="s">
        <v>228</v>
      </c>
      <c r="C40" s="47" t="s">
        <v>454</v>
      </c>
      <c r="D40" s="47" t="s">
        <v>454</v>
      </c>
      <c r="E40" s="47" t="s">
        <v>438</v>
      </c>
      <c r="F40" s="47" t="s">
        <v>438</v>
      </c>
    </row>
    <row r="41" customFormat="false" ht="15" hidden="false" customHeight="false" outlineLevel="0" collapsed="false">
      <c r="A41" s="44" t="s">
        <v>455</v>
      </c>
      <c r="B41" s="43" t="s">
        <v>228</v>
      </c>
      <c r="C41" s="43" t="s">
        <v>228</v>
      </c>
      <c r="D41" s="43" t="s">
        <v>228</v>
      </c>
      <c r="E41" s="47" t="s">
        <v>438</v>
      </c>
      <c r="F41" s="47" t="s">
        <v>438</v>
      </c>
    </row>
    <row r="42" customFormat="false" ht="15" hidden="false" customHeight="false" outlineLevel="0" collapsed="false">
      <c r="A42" s="44" t="s">
        <v>456</v>
      </c>
      <c r="B42" s="43" t="s">
        <v>228</v>
      </c>
      <c r="C42" s="47" t="s">
        <v>438</v>
      </c>
      <c r="D42" s="47" t="s">
        <v>438</v>
      </c>
      <c r="E42" s="47" t="s">
        <v>438</v>
      </c>
      <c r="F42" s="47" t="s">
        <v>438</v>
      </c>
    </row>
    <row r="43" customFormat="false" ht="15" hidden="false" customHeight="false" outlineLevel="0" collapsed="false">
      <c r="A43" s="44" t="s">
        <v>457</v>
      </c>
      <c r="B43" s="43" t="s">
        <v>228</v>
      </c>
      <c r="C43" s="43" t="s">
        <v>228</v>
      </c>
      <c r="D43" s="47" t="s">
        <v>454</v>
      </c>
      <c r="E43" s="47" t="s">
        <v>458</v>
      </c>
      <c r="F43" s="47" t="s">
        <v>458</v>
      </c>
    </row>
    <row r="44" customFormat="false" ht="15" hidden="false" customHeight="false" outlineLevel="0" collapsed="false">
      <c r="A44" s="44" t="s">
        <v>459</v>
      </c>
      <c r="B44" s="43" t="s">
        <v>228</v>
      </c>
      <c r="C44" s="43" t="s">
        <v>228</v>
      </c>
      <c r="D44" s="47" t="s">
        <v>460</v>
      </c>
      <c r="E44" s="47" t="s">
        <v>439</v>
      </c>
      <c r="F44" s="47" t="s">
        <v>439</v>
      </c>
    </row>
    <row r="45" customFormat="false" ht="15" hidden="false" customHeight="false" outlineLevel="0" collapsed="false">
      <c r="A45" s="44" t="s">
        <v>461</v>
      </c>
      <c r="B45" s="43" t="s">
        <v>228</v>
      </c>
      <c r="C45" s="43" t="s">
        <v>228</v>
      </c>
      <c r="D45" s="43" t="s">
        <v>228</v>
      </c>
      <c r="E45" s="47" t="s">
        <v>462</v>
      </c>
      <c r="F45" s="47" t="s">
        <v>463</v>
      </c>
    </row>
    <row r="46" customFormat="false" ht="15" hidden="false" customHeight="false" outlineLevel="0" collapsed="false">
      <c r="A46" s="44" t="s">
        <v>464</v>
      </c>
      <c r="B46" s="43" t="s">
        <v>465</v>
      </c>
      <c r="C46" s="43" t="s">
        <v>465</v>
      </c>
      <c r="D46" s="43" t="s">
        <v>465</v>
      </c>
      <c r="E46" s="43" t="s">
        <v>465</v>
      </c>
      <c r="F46" s="43" t="s">
        <v>465</v>
      </c>
    </row>
    <row r="48" customFormat="false" ht="15" hidden="false" customHeight="false" outlineLevel="0" collapsed="false">
      <c r="A48" s="13" t="s">
        <v>466</v>
      </c>
    </row>
    <row r="49" customFormat="false" ht="15" hidden="false" customHeight="false" outlineLevel="0" collapsed="false">
      <c r="A49" s="17" t="s">
        <v>467</v>
      </c>
    </row>
    <row r="51" customFormat="false" ht="15" hidden="false" customHeight="false" outlineLevel="0" collapsed="false">
      <c r="A51" s="13" t="s">
        <v>468</v>
      </c>
    </row>
    <row r="52" customFormat="false" ht="15" hidden="false" customHeight="false" outlineLevel="0" collapsed="false">
      <c r="A52" s="14" t="s">
        <v>469</v>
      </c>
    </row>
    <row r="53" customFormat="false" ht="15" hidden="false" customHeight="false" outlineLevel="0" collapsed="false">
      <c r="A53" s="14" t="s">
        <v>470</v>
      </c>
    </row>
    <row r="54" customFormat="false" ht="15" hidden="false" customHeight="false" outlineLevel="0" collapsed="false">
      <c r="A54" s="14" t="s">
        <v>471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472</v>
      </c>
    </row>
    <row r="3" customFormat="false" ht="15" hidden="false" customHeight="false" outlineLevel="0" collapsed="false">
      <c r="A3" s="35" t="s">
        <v>473</v>
      </c>
    </row>
    <row r="5" customFormat="false" ht="15" hidden="false" customHeight="false" outlineLevel="0" collapsed="false">
      <c r="A5" s="3" t="s">
        <v>284</v>
      </c>
      <c r="B5" s="3" t="s">
        <v>474</v>
      </c>
      <c r="C5" s="3" t="s">
        <v>475</v>
      </c>
      <c r="D5" s="3" t="s">
        <v>476</v>
      </c>
    </row>
    <row r="6" customFormat="false" ht="64.9" hidden="false" customHeight="false" outlineLevel="0" collapsed="false">
      <c r="A6" s="8" t="s">
        <v>4</v>
      </c>
      <c r="B6" s="9" t="s">
        <v>477</v>
      </c>
      <c r="C6" s="10" t="s">
        <v>478</v>
      </c>
      <c r="D6" s="10" t="s">
        <v>479</v>
      </c>
    </row>
    <row r="7" customFormat="false" ht="63.4" hidden="false" customHeight="false" outlineLevel="0" collapsed="false">
      <c r="A7" s="8" t="s">
        <v>5</v>
      </c>
      <c r="B7" s="10" t="s">
        <v>480</v>
      </c>
      <c r="C7" s="10" t="s">
        <v>481</v>
      </c>
      <c r="D7" s="10" t="s">
        <v>479</v>
      </c>
    </row>
    <row r="8" customFormat="false" ht="52.2" hidden="false" customHeight="false" outlineLevel="0" collapsed="false">
      <c r="A8" s="8" t="s">
        <v>6</v>
      </c>
      <c r="B8" s="9" t="s">
        <v>482</v>
      </c>
      <c r="C8" s="10" t="s">
        <v>483</v>
      </c>
      <c r="D8" s="10" t="s">
        <v>479</v>
      </c>
    </row>
    <row r="9" customFormat="false" ht="52.2" hidden="false" customHeight="false" outlineLevel="0" collapsed="false">
      <c r="A9" s="8" t="s">
        <v>7</v>
      </c>
      <c r="B9" s="9" t="s">
        <v>484</v>
      </c>
      <c r="C9" s="9" t="s">
        <v>485</v>
      </c>
      <c r="D9" s="10" t="s">
        <v>479</v>
      </c>
    </row>
    <row r="10" customFormat="false" ht="39.55" hidden="false" customHeight="false" outlineLevel="0" collapsed="false">
      <c r="A10" s="8" t="s">
        <v>8</v>
      </c>
      <c r="B10" s="9" t="s">
        <v>486</v>
      </c>
      <c r="C10" s="9" t="s">
        <v>487</v>
      </c>
      <c r="D10" s="10" t="s">
        <v>479</v>
      </c>
    </row>
    <row r="11" customFormat="false" ht="52.2" hidden="false" customHeight="false" outlineLevel="0" collapsed="false">
      <c r="A11" s="8" t="s">
        <v>9</v>
      </c>
      <c r="B11" s="9" t="s">
        <v>488</v>
      </c>
      <c r="C11" s="9" t="s">
        <v>489</v>
      </c>
      <c r="D11" s="10" t="s">
        <v>479</v>
      </c>
    </row>
    <row r="12" customFormat="false" ht="50.7" hidden="false" customHeight="false" outlineLevel="0" collapsed="false">
      <c r="A12" s="8" t="s">
        <v>10</v>
      </c>
      <c r="B12" s="9" t="s">
        <v>490</v>
      </c>
      <c r="C12" s="9" t="s">
        <v>489</v>
      </c>
      <c r="D12" s="10" t="s">
        <v>479</v>
      </c>
    </row>
    <row r="13" customFormat="false" ht="102.95" hidden="false" customHeight="false" outlineLevel="0" collapsed="false">
      <c r="A13" s="8" t="s">
        <v>11</v>
      </c>
      <c r="B13" s="9" t="s">
        <v>491</v>
      </c>
      <c r="C13" s="10" t="s">
        <v>492</v>
      </c>
      <c r="D13" s="10" t="s">
        <v>479</v>
      </c>
    </row>
    <row r="14" customFormat="false" ht="39.55" hidden="false" customHeight="false" outlineLevel="0" collapsed="false">
      <c r="A14" s="8" t="s">
        <v>12</v>
      </c>
      <c r="B14" s="9" t="s">
        <v>493</v>
      </c>
      <c r="C14" s="9" t="s">
        <v>494</v>
      </c>
      <c r="D14" s="10" t="s">
        <v>479</v>
      </c>
    </row>
    <row r="16" customFormat="false" ht="15" hidden="false" customHeight="false" outlineLevel="0" collapsed="false">
      <c r="A16" s="35" t="s">
        <v>495</v>
      </c>
    </row>
    <row r="17" customFormat="false" ht="15" hidden="false" customHeight="false" outlineLevel="0" collapsed="false">
      <c r="A17" s="3" t="s">
        <v>496</v>
      </c>
      <c r="B17" s="3" t="s">
        <v>284</v>
      </c>
      <c r="C17" s="3" t="s">
        <v>497</v>
      </c>
      <c r="D17" s="3" t="s">
        <v>498</v>
      </c>
    </row>
    <row r="18" customFormat="false" ht="25.35" hidden="false" customHeight="false" outlineLevel="0" collapsed="false">
      <c r="A18" s="48" t="s">
        <v>499</v>
      </c>
      <c r="B18" s="48" t="s">
        <v>5</v>
      </c>
      <c r="C18" s="11" t="s">
        <v>500</v>
      </c>
      <c r="D18" s="11" t="s">
        <v>501</v>
      </c>
    </row>
    <row r="19" customFormat="false" ht="26.85" hidden="false" customHeight="false" outlineLevel="0" collapsed="false">
      <c r="A19" s="48" t="s">
        <v>499</v>
      </c>
      <c r="B19" s="48" t="s">
        <v>4</v>
      </c>
      <c r="C19" s="11" t="s">
        <v>502</v>
      </c>
      <c r="D19" s="11" t="s">
        <v>503</v>
      </c>
    </row>
    <row r="20" customFormat="false" ht="15" hidden="false" customHeight="false" outlineLevel="0" collapsed="false">
      <c r="A20" s="48" t="s">
        <v>504</v>
      </c>
      <c r="B20" s="48" t="s">
        <v>6</v>
      </c>
      <c r="C20" s="12" t="s">
        <v>505</v>
      </c>
      <c r="D20" s="12" t="s">
        <v>506</v>
      </c>
    </row>
    <row r="21" customFormat="false" ht="15" hidden="false" customHeight="false" outlineLevel="0" collapsed="false">
      <c r="A21" s="8" t="s">
        <v>507</v>
      </c>
      <c r="B21" s="8" t="s">
        <v>5</v>
      </c>
      <c r="C21" s="9" t="s">
        <v>508</v>
      </c>
      <c r="D21" s="9" t="s">
        <v>509</v>
      </c>
    </row>
    <row r="22" customFormat="false" ht="15" hidden="false" customHeight="false" outlineLevel="0" collapsed="false">
      <c r="A22" s="8" t="s">
        <v>507</v>
      </c>
      <c r="B22" s="8" t="s">
        <v>4</v>
      </c>
      <c r="C22" s="10" t="s">
        <v>510</v>
      </c>
      <c r="D22" s="9" t="s">
        <v>511</v>
      </c>
    </row>
    <row r="23" customFormat="false" ht="26.85" hidden="false" customHeight="false" outlineLevel="0" collapsed="false">
      <c r="A23" s="8" t="s">
        <v>512</v>
      </c>
      <c r="B23" s="8" t="s">
        <v>4</v>
      </c>
      <c r="C23" s="9" t="s">
        <v>513</v>
      </c>
      <c r="D23" s="9" t="s">
        <v>514</v>
      </c>
    </row>
    <row r="24" customFormat="false" ht="26.85" hidden="false" customHeight="false" outlineLevel="0" collapsed="false">
      <c r="A24" s="8" t="s">
        <v>512</v>
      </c>
      <c r="B24" s="8" t="s">
        <v>4</v>
      </c>
      <c r="C24" s="10" t="s">
        <v>515</v>
      </c>
      <c r="D24" s="9" t="s">
        <v>516</v>
      </c>
    </row>
    <row r="25" customFormat="false" ht="15" hidden="false" customHeight="false" outlineLevel="0" collapsed="false">
      <c r="A25" s="8" t="s">
        <v>512</v>
      </c>
      <c r="B25" s="8" t="s">
        <v>7</v>
      </c>
      <c r="C25" s="9" t="s">
        <v>517</v>
      </c>
      <c r="D25" s="10" t="s">
        <v>518</v>
      </c>
    </row>
    <row r="26" customFormat="false" ht="15" hidden="false" customHeight="false" outlineLevel="0" collapsed="false">
      <c r="A26" s="8" t="s">
        <v>519</v>
      </c>
      <c r="B26" s="8" t="s">
        <v>9</v>
      </c>
      <c r="C26" s="10" t="s">
        <v>520</v>
      </c>
      <c r="D26" s="9" t="s">
        <v>521</v>
      </c>
    </row>
    <row r="27" customFormat="false" ht="26.85" hidden="false" customHeight="false" outlineLevel="0" collapsed="false">
      <c r="A27" s="8" t="s">
        <v>522</v>
      </c>
      <c r="B27" s="8" t="s">
        <v>9</v>
      </c>
      <c r="C27" s="9" t="s">
        <v>523</v>
      </c>
      <c r="D27" s="9" t="s">
        <v>524</v>
      </c>
    </row>
    <row r="28" customFormat="false" ht="15" hidden="false" customHeight="false" outlineLevel="0" collapsed="false">
      <c r="A28" s="8" t="s">
        <v>522</v>
      </c>
      <c r="B28" s="8" t="s">
        <v>8</v>
      </c>
      <c r="C28" s="9" t="s">
        <v>525</v>
      </c>
      <c r="D28" s="9" t="s">
        <v>526</v>
      </c>
    </row>
    <row r="30" customFormat="false" ht="15" hidden="false" customHeight="false" outlineLevel="0" collapsed="false">
      <c r="A30" s="35" t="s">
        <v>527</v>
      </c>
    </row>
    <row r="31" customFormat="false" ht="15" hidden="false" customHeight="false" outlineLevel="0" collapsed="false">
      <c r="A31" s="3" t="s">
        <v>528</v>
      </c>
      <c r="B31" s="3" t="s">
        <v>284</v>
      </c>
      <c r="C31" s="3" t="s">
        <v>529</v>
      </c>
      <c r="D31" s="3" t="s">
        <v>530</v>
      </c>
    </row>
    <row r="32" customFormat="false" ht="26.85" hidden="false" customHeight="false" outlineLevel="0" collapsed="false">
      <c r="A32" s="44" t="s">
        <v>531</v>
      </c>
      <c r="B32" s="8" t="s">
        <v>5</v>
      </c>
      <c r="C32" s="10" t="s">
        <v>532</v>
      </c>
      <c r="D32" s="10" t="s">
        <v>533</v>
      </c>
    </row>
    <row r="33" customFormat="false" ht="15" hidden="false" customHeight="false" outlineLevel="0" collapsed="false">
      <c r="A33" s="44" t="s">
        <v>531</v>
      </c>
      <c r="B33" s="8" t="s">
        <v>7</v>
      </c>
      <c r="C33" s="9" t="s">
        <v>534</v>
      </c>
      <c r="D33" s="9" t="s">
        <v>535</v>
      </c>
    </row>
    <row r="34" customFormat="false" ht="15" hidden="false" customHeight="false" outlineLevel="0" collapsed="false">
      <c r="A34" s="44" t="s">
        <v>536</v>
      </c>
      <c r="B34" s="8" t="s">
        <v>4</v>
      </c>
      <c r="C34" s="9" t="s">
        <v>537</v>
      </c>
      <c r="D34" s="9" t="s">
        <v>538</v>
      </c>
    </row>
    <row r="35" customFormat="false" ht="15" hidden="false" customHeight="false" outlineLevel="0" collapsed="false">
      <c r="A35" s="44" t="s">
        <v>536</v>
      </c>
      <c r="B35" s="8" t="s">
        <v>5</v>
      </c>
      <c r="C35" s="9" t="s">
        <v>539</v>
      </c>
      <c r="D35" s="9" t="s">
        <v>540</v>
      </c>
    </row>
    <row r="36" customFormat="false" ht="15" hidden="false" customHeight="false" outlineLevel="0" collapsed="false">
      <c r="A36" s="44" t="s">
        <v>536</v>
      </c>
      <c r="B36" s="8" t="s">
        <v>6</v>
      </c>
      <c r="C36" s="9" t="s">
        <v>541</v>
      </c>
      <c r="D36" s="9" t="s">
        <v>538</v>
      </c>
    </row>
    <row r="37" customFormat="false" ht="15" hidden="false" customHeight="false" outlineLevel="0" collapsed="false">
      <c r="A37" s="44" t="s">
        <v>536</v>
      </c>
      <c r="B37" s="8" t="s">
        <v>7</v>
      </c>
      <c r="C37" s="9" t="s">
        <v>542</v>
      </c>
      <c r="D37" s="9" t="s">
        <v>543</v>
      </c>
    </row>
    <row r="38" customFormat="false" ht="15" hidden="false" customHeight="false" outlineLevel="0" collapsed="false">
      <c r="A38" s="44" t="s">
        <v>544</v>
      </c>
      <c r="B38" s="8" t="s">
        <v>5</v>
      </c>
      <c r="C38" s="9" t="s">
        <v>545</v>
      </c>
      <c r="D38" s="10" t="s">
        <v>546</v>
      </c>
    </row>
    <row r="39" customFormat="false" ht="15" hidden="false" customHeight="false" outlineLevel="0" collapsed="false">
      <c r="A39" s="44" t="s">
        <v>544</v>
      </c>
      <c r="B39" s="8" t="s">
        <v>6</v>
      </c>
      <c r="C39" s="9" t="s">
        <v>547</v>
      </c>
      <c r="D39" s="10" t="s">
        <v>548</v>
      </c>
    </row>
    <row r="40" customFormat="false" ht="15" hidden="false" customHeight="false" outlineLevel="0" collapsed="false">
      <c r="A40" s="44" t="s">
        <v>544</v>
      </c>
      <c r="B40" s="8" t="s">
        <v>4</v>
      </c>
      <c r="C40" s="9" t="s">
        <v>549</v>
      </c>
      <c r="D40" s="9" t="s">
        <v>550</v>
      </c>
    </row>
    <row r="41" customFormat="false" ht="15" hidden="false" customHeight="false" outlineLevel="0" collapsed="false">
      <c r="A41" s="44" t="s">
        <v>544</v>
      </c>
      <c r="B41" s="8" t="s">
        <v>7</v>
      </c>
      <c r="C41" s="9" t="s">
        <v>551</v>
      </c>
      <c r="D41" s="9" t="s">
        <v>552</v>
      </c>
    </row>
    <row r="42" customFormat="false" ht="15" hidden="false" customHeight="false" outlineLevel="0" collapsed="false">
      <c r="A42" s="44" t="s">
        <v>553</v>
      </c>
      <c r="B42" s="8" t="s">
        <v>4</v>
      </c>
      <c r="C42" s="9" t="s">
        <v>554</v>
      </c>
      <c r="D42" s="9" t="s">
        <v>555</v>
      </c>
    </row>
    <row r="43" customFormat="false" ht="15" hidden="false" customHeight="false" outlineLevel="0" collapsed="false">
      <c r="A43" s="44" t="s">
        <v>553</v>
      </c>
      <c r="B43" s="8" t="s">
        <v>7</v>
      </c>
      <c r="C43" s="9" t="s">
        <v>556</v>
      </c>
      <c r="D43" s="9" t="s">
        <v>557</v>
      </c>
    </row>
    <row r="44" customFormat="false" ht="15" hidden="false" customHeight="false" outlineLevel="0" collapsed="false">
      <c r="A44" s="44" t="s">
        <v>553</v>
      </c>
      <c r="B44" s="8" t="s">
        <v>558</v>
      </c>
      <c r="C44" s="9" t="s">
        <v>559</v>
      </c>
      <c r="D44" s="9" t="s">
        <v>560</v>
      </c>
    </row>
    <row r="45" customFormat="false" ht="26.85" hidden="false" customHeight="false" outlineLevel="0" collapsed="false">
      <c r="A45" s="44" t="s">
        <v>531</v>
      </c>
      <c r="B45" s="8" t="s">
        <v>8</v>
      </c>
      <c r="C45" s="9" t="s">
        <v>561</v>
      </c>
      <c r="D45" s="9" t="s">
        <v>562</v>
      </c>
    </row>
    <row r="46" customFormat="false" ht="15" hidden="false" customHeight="false" outlineLevel="0" collapsed="false">
      <c r="A46" s="44" t="s">
        <v>536</v>
      </c>
      <c r="B46" s="8" t="s">
        <v>8</v>
      </c>
      <c r="C46" s="9" t="s">
        <v>563</v>
      </c>
      <c r="D46" s="9" t="s">
        <v>564</v>
      </c>
    </row>
    <row r="47" customFormat="false" ht="15" hidden="false" customHeight="false" outlineLevel="0" collapsed="false">
      <c r="A47" s="44" t="s">
        <v>536</v>
      </c>
      <c r="B47" s="8" t="s">
        <v>9</v>
      </c>
      <c r="C47" s="9" t="s">
        <v>565</v>
      </c>
      <c r="D47" s="9" t="s">
        <v>566</v>
      </c>
    </row>
    <row r="48" customFormat="false" ht="15" hidden="false" customHeight="false" outlineLevel="0" collapsed="false">
      <c r="A48" s="44" t="s">
        <v>544</v>
      </c>
      <c r="B48" s="8" t="s">
        <v>9</v>
      </c>
      <c r="C48" s="9" t="s">
        <v>567</v>
      </c>
      <c r="D48" s="9" t="s">
        <v>568</v>
      </c>
    </row>
    <row r="49" customFormat="false" ht="15" hidden="false" customHeight="false" outlineLevel="0" collapsed="false">
      <c r="A49" s="44" t="s">
        <v>553</v>
      </c>
      <c r="B49" s="8" t="s">
        <v>9</v>
      </c>
      <c r="C49" s="9" t="s">
        <v>569</v>
      </c>
      <c r="D49" s="9" t="s">
        <v>570</v>
      </c>
    </row>
    <row r="50" customFormat="false" ht="26.85" hidden="false" customHeight="false" outlineLevel="0" collapsed="false">
      <c r="A50" s="44" t="s">
        <v>531</v>
      </c>
      <c r="B50" s="8" t="s">
        <v>10</v>
      </c>
      <c r="C50" s="10" t="s">
        <v>571</v>
      </c>
      <c r="D50" s="10" t="s">
        <v>572</v>
      </c>
    </row>
    <row r="51" customFormat="false" ht="15" hidden="false" customHeight="false" outlineLevel="0" collapsed="false">
      <c r="A51" s="44" t="s">
        <v>536</v>
      </c>
      <c r="B51" s="8" t="s">
        <v>10</v>
      </c>
      <c r="C51" s="9" t="s">
        <v>573</v>
      </c>
      <c r="D51" s="10" t="s">
        <v>574</v>
      </c>
    </row>
    <row r="52" customFormat="false" ht="15" hidden="false" customHeight="false" outlineLevel="0" collapsed="false">
      <c r="A52" s="44" t="s">
        <v>544</v>
      </c>
      <c r="B52" s="8" t="s">
        <v>10</v>
      </c>
      <c r="C52" s="9" t="s">
        <v>575</v>
      </c>
      <c r="D52" s="9" t="s">
        <v>576</v>
      </c>
    </row>
    <row r="53" customFormat="false" ht="15" hidden="false" customHeight="false" outlineLevel="0" collapsed="false">
      <c r="A53" s="44" t="s">
        <v>531</v>
      </c>
      <c r="B53" s="8" t="s">
        <v>11</v>
      </c>
      <c r="C53" s="9" t="s">
        <v>577</v>
      </c>
      <c r="D53" s="10" t="s">
        <v>578</v>
      </c>
    </row>
    <row r="54" customFormat="false" ht="15" hidden="false" customHeight="false" outlineLevel="0" collapsed="false">
      <c r="A54" s="44" t="s">
        <v>536</v>
      </c>
      <c r="B54" s="8" t="s">
        <v>11</v>
      </c>
      <c r="C54" s="10" t="s">
        <v>579</v>
      </c>
      <c r="D54" s="10" t="s">
        <v>580</v>
      </c>
    </row>
    <row r="55" customFormat="false" ht="15" hidden="false" customHeight="false" outlineLevel="0" collapsed="false">
      <c r="A55" s="44" t="s">
        <v>536</v>
      </c>
      <c r="B55" s="8" t="s">
        <v>11</v>
      </c>
      <c r="C55" s="9" t="s">
        <v>581</v>
      </c>
      <c r="D55" s="10" t="s">
        <v>582</v>
      </c>
    </row>
    <row r="56" customFormat="false" ht="15" hidden="false" customHeight="false" outlineLevel="0" collapsed="false">
      <c r="A56" s="44" t="s">
        <v>544</v>
      </c>
      <c r="B56" s="8" t="s">
        <v>11</v>
      </c>
      <c r="C56" s="9" t="s">
        <v>583</v>
      </c>
      <c r="D56" s="9" t="s">
        <v>584</v>
      </c>
    </row>
    <row r="57" customFormat="false" ht="15" hidden="false" customHeight="false" outlineLevel="0" collapsed="false">
      <c r="A57" s="44" t="s">
        <v>553</v>
      </c>
      <c r="B57" s="8" t="s">
        <v>11</v>
      </c>
      <c r="C57" s="9" t="s">
        <v>585</v>
      </c>
      <c r="D57" s="9" t="s">
        <v>586</v>
      </c>
    </row>
    <row r="58" customFormat="false" ht="15" hidden="false" customHeight="false" outlineLevel="0" collapsed="false">
      <c r="A58" s="44" t="s">
        <v>536</v>
      </c>
      <c r="B58" s="8" t="s">
        <v>12</v>
      </c>
      <c r="C58" s="10" t="s">
        <v>587</v>
      </c>
      <c r="D58" s="9" t="s">
        <v>588</v>
      </c>
    </row>
    <row r="59" customFormat="false" ht="15" hidden="false" customHeight="false" outlineLevel="0" collapsed="false">
      <c r="A59" s="44" t="s">
        <v>544</v>
      </c>
      <c r="B59" s="8" t="s">
        <v>12</v>
      </c>
      <c r="C59" s="9" t="s">
        <v>589</v>
      </c>
      <c r="D59" s="9" t="s">
        <v>590</v>
      </c>
    </row>
    <row r="60" customFormat="false" ht="15" hidden="false" customHeight="false" outlineLevel="0" collapsed="false">
      <c r="A60" s="44" t="s">
        <v>553</v>
      </c>
      <c r="B60" s="8" t="s">
        <v>12</v>
      </c>
      <c r="C60" s="9" t="s">
        <v>591</v>
      </c>
      <c r="D60" s="9" t="s">
        <v>592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593</v>
      </c>
    </row>
    <row r="2" customFormat="false" ht="15" hidden="false" customHeight="false" outlineLevel="0" collapsed="false">
      <c r="A2" s="2" t="s">
        <v>594</v>
      </c>
    </row>
    <row r="4" customFormat="false" ht="15" hidden="false" customHeight="false" outlineLevel="0" collapsed="false">
      <c r="A4" s="49" t="s">
        <v>595</v>
      </c>
      <c r="B4" s="3" t="s">
        <v>127</v>
      </c>
      <c r="C4" s="3" t="s">
        <v>596</v>
      </c>
      <c r="D4" s="3" t="s">
        <v>597</v>
      </c>
      <c r="E4" s="3" t="s">
        <v>598</v>
      </c>
    </row>
    <row r="5" customFormat="false" ht="39.55" hidden="false" customHeight="false" outlineLevel="0" collapsed="false">
      <c r="A5" s="47" t="n">
        <v>1</v>
      </c>
      <c r="B5" s="50" t="s">
        <v>287</v>
      </c>
      <c r="C5" s="9" t="s">
        <v>599</v>
      </c>
      <c r="D5" s="9" t="s">
        <v>600</v>
      </c>
      <c r="E5" s="10" t="s">
        <v>601</v>
      </c>
    </row>
    <row r="6" customFormat="false" ht="26.85" hidden="false" customHeight="false" outlineLevel="0" collapsed="false">
      <c r="A6" s="47" t="n">
        <v>2</v>
      </c>
      <c r="B6" s="50" t="s">
        <v>287</v>
      </c>
      <c r="C6" s="9" t="s">
        <v>602</v>
      </c>
      <c r="D6" s="10" t="s">
        <v>603</v>
      </c>
      <c r="E6" s="10" t="s">
        <v>604</v>
      </c>
    </row>
    <row r="7" customFormat="false" ht="26.85" hidden="false" customHeight="false" outlineLevel="0" collapsed="false">
      <c r="A7" s="47" t="n">
        <v>3</v>
      </c>
      <c r="B7" s="50" t="s">
        <v>287</v>
      </c>
      <c r="C7" s="9" t="s">
        <v>605</v>
      </c>
      <c r="D7" s="9" t="s">
        <v>606</v>
      </c>
      <c r="E7" s="9" t="s">
        <v>607</v>
      </c>
    </row>
    <row r="8" customFormat="false" ht="26.85" hidden="false" customHeight="false" outlineLevel="0" collapsed="false">
      <c r="A8" s="47" t="n">
        <v>4</v>
      </c>
      <c r="B8" s="50" t="s">
        <v>287</v>
      </c>
      <c r="C8" s="9" t="s">
        <v>608</v>
      </c>
      <c r="D8" s="10" t="s">
        <v>609</v>
      </c>
      <c r="E8" s="9" t="s">
        <v>610</v>
      </c>
    </row>
    <row r="9" customFormat="false" ht="26.85" hidden="false" customHeight="false" outlineLevel="0" collapsed="false">
      <c r="A9" s="47" t="n">
        <v>5</v>
      </c>
      <c r="B9" s="50" t="s">
        <v>287</v>
      </c>
      <c r="C9" s="9" t="s">
        <v>611</v>
      </c>
      <c r="D9" s="9" t="s">
        <v>612</v>
      </c>
      <c r="E9" s="9" t="s">
        <v>613</v>
      </c>
    </row>
    <row r="10" customFormat="false" ht="26.85" hidden="false" customHeight="false" outlineLevel="0" collapsed="false">
      <c r="A10" s="47" t="n">
        <v>6</v>
      </c>
      <c r="B10" s="50" t="s">
        <v>287</v>
      </c>
      <c r="C10" s="9" t="s">
        <v>614</v>
      </c>
      <c r="D10" s="9" t="s">
        <v>615</v>
      </c>
      <c r="E10" s="9" t="s">
        <v>616</v>
      </c>
    </row>
    <row r="11" customFormat="false" ht="26.85" hidden="false" customHeight="false" outlineLevel="0" collapsed="false">
      <c r="A11" s="47" t="n">
        <v>7</v>
      </c>
      <c r="B11" s="50" t="s">
        <v>287</v>
      </c>
      <c r="C11" s="9" t="s">
        <v>617</v>
      </c>
      <c r="D11" s="9" t="s">
        <v>618</v>
      </c>
      <c r="E11" s="9" t="s">
        <v>619</v>
      </c>
    </row>
    <row r="12" customFormat="false" ht="39.55" hidden="false" customHeight="false" outlineLevel="0" collapsed="false">
      <c r="A12" s="47" t="n">
        <v>8</v>
      </c>
      <c r="B12" s="50" t="s">
        <v>287</v>
      </c>
      <c r="C12" s="9" t="s">
        <v>620</v>
      </c>
      <c r="D12" s="9" t="s">
        <v>621</v>
      </c>
      <c r="E12" s="9" t="s">
        <v>622</v>
      </c>
    </row>
    <row r="13" customFormat="false" ht="26.85" hidden="false" customHeight="false" outlineLevel="0" collapsed="false">
      <c r="A13" s="47" t="n">
        <v>9</v>
      </c>
      <c r="B13" s="50" t="s">
        <v>623</v>
      </c>
      <c r="C13" s="9" t="s">
        <v>624</v>
      </c>
      <c r="D13" s="9" t="s">
        <v>625</v>
      </c>
      <c r="E13" s="9" t="s">
        <v>626</v>
      </c>
    </row>
    <row r="14" customFormat="false" ht="26.85" hidden="false" customHeight="false" outlineLevel="0" collapsed="false">
      <c r="A14" s="47" t="n">
        <v>10</v>
      </c>
      <c r="B14" s="50" t="s">
        <v>623</v>
      </c>
      <c r="C14" s="9" t="s">
        <v>627</v>
      </c>
      <c r="D14" s="9" t="s">
        <v>628</v>
      </c>
      <c r="E14" s="9" t="s">
        <v>629</v>
      </c>
    </row>
    <row r="15" customFormat="false" ht="26.85" hidden="false" customHeight="false" outlineLevel="0" collapsed="false">
      <c r="A15" s="47" t="n">
        <v>11</v>
      </c>
      <c r="B15" s="50" t="s">
        <v>623</v>
      </c>
      <c r="C15" s="9" t="s">
        <v>630</v>
      </c>
      <c r="D15" s="10" t="s">
        <v>631</v>
      </c>
      <c r="E15" s="9" t="s">
        <v>632</v>
      </c>
    </row>
    <row r="16" customFormat="false" ht="26.85" hidden="false" customHeight="false" outlineLevel="0" collapsed="false">
      <c r="A16" s="47" t="n">
        <v>12</v>
      </c>
      <c r="B16" s="50" t="s">
        <v>623</v>
      </c>
      <c r="C16" s="10" t="s">
        <v>633</v>
      </c>
      <c r="D16" s="9" t="s">
        <v>634</v>
      </c>
      <c r="E16" s="9" t="s">
        <v>635</v>
      </c>
    </row>
    <row r="17" customFormat="false" ht="26.85" hidden="false" customHeight="false" outlineLevel="0" collapsed="false">
      <c r="A17" s="47" t="n">
        <v>13</v>
      </c>
      <c r="B17" s="50" t="s">
        <v>623</v>
      </c>
      <c r="C17" s="9" t="s">
        <v>636</v>
      </c>
      <c r="D17" s="10" t="s">
        <v>637</v>
      </c>
      <c r="E17" s="9" t="s">
        <v>638</v>
      </c>
    </row>
    <row r="18" customFormat="false" ht="26.85" hidden="false" customHeight="false" outlineLevel="0" collapsed="false">
      <c r="A18" s="47" t="n">
        <v>14</v>
      </c>
      <c r="B18" s="50" t="s">
        <v>639</v>
      </c>
      <c r="C18" s="9" t="s">
        <v>640</v>
      </c>
      <c r="D18" s="9" t="s">
        <v>641</v>
      </c>
      <c r="E18" s="9" t="s">
        <v>642</v>
      </c>
    </row>
    <row r="19" customFormat="false" ht="38.05" hidden="false" customHeight="false" outlineLevel="0" collapsed="false">
      <c r="A19" s="47" t="n">
        <v>26</v>
      </c>
      <c r="B19" s="50" t="s">
        <v>623</v>
      </c>
      <c r="C19" s="10" t="s">
        <v>643</v>
      </c>
      <c r="D19" s="9" t="s">
        <v>644</v>
      </c>
      <c r="E19" s="9" t="s">
        <v>645</v>
      </c>
    </row>
    <row r="20" customFormat="false" ht="26.85" hidden="false" customHeight="false" outlineLevel="0" collapsed="false">
      <c r="A20" s="47" t="n">
        <v>27</v>
      </c>
      <c r="B20" s="50" t="s">
        <v>623</v>
      </c>
      <c r="C20" s="9" t="s">
        <v>646</v>
      </c>
      <c r="D20" s="9" t="s">
        <v>647</v>
      </c>
      <c r="E20" s="9" t="s">
        <v>648</v>
      </c>
    </row>
    <row r="21" customFormat="false" ht="26.85" hidden="false" customHeight="false" outlineLevel="0" collapsed="false">
      <c r="A21" s="47" t="n">
        <v>28</v>
      </c>
      <c r="B21" s="50" t="s">
        <v>623</v>
      </c>
      <c r="C21" s="9" t="s">
        <v>649</v>
      </c>
      <c r="D21" s="9" t="s">
        <v>650</v>
      </c>
      <c r="E21" s="9" t="s">
        <v>651</v>
      </c>
    </row>
    <row r="22" customFormat="false" ht="39.55" hidden="false" customHeight="false" outlineLevel="0" collapsed="false">
      <c r="A22" s="47" t="n">
        <v>22</v>
      </c>
      <c r="B22" s="50" t="s">
        <v>287</v>
      </c>
      <c r="C22" s="9" t="s">
        <v>652</v>
      </c>
      <c r="D22" s="9" t="s">
        <v>653</v>
      </c>
      <c r="E22" s="9" t="s">
        <v>654</v>
      </c>
    </row>
    <row r="23" customFormat="false" ht="39.55" hidden="false" customHeight="false" outlineLevel="0" collapsed="false">
      <c r="A23" s="47" t="n">
        <v>23</v>
      </c>
      <c r="B23" s="50" t="s">
        <v>287</v>
      </c>
      <c r="C23" s="9" t="s">
        <v>655</v>
      </c>
      <c r="D23" s="10" t="s">
        <v>656</v>
      </c>
      <c r="E23" s="9" t="s">
        <v>657</v>
      </c>
    </row>
    <row r="24" customFormat="false" ht="26.85" hidden="false" customHeight="false" outlineLevel="0" collapsed="false">
      <c r="A24" s="47" t="n">
        <v>24</v>
      </c>
      <c r="B24" s="50" t="s">
        <v>623</v>
      </c>
      <c r="C24" s="9" t="s">
        <v>658</v>
      </c>
      <c r="D24" s="9" t="s">
        <v>659</v>
      </c>
      <c r="E24" s="9" t="s">
        <v>660</v>
      </c>
    </row>
    <row r="25" customFormat="false" ht="39.55" hidden="false" customHeight="false" outlineLevel="0" collapsed="false">
      <c r="A25" s="47" t="n">
        <v>25</v>
      </c>
      <c r="B25" s="50" t="s">
        <v>639</v>
      </c>
      <c r="C25" s="9" t="s">
        <v>661</v>
      </c>
      <c r="D25" s="9" t="s">
        <v>662</v>
      </c>
      <c r="E25" s="10" t="s">
        <v>663</v>
      </c>
    </row>
    <row r="26" customFormat="false" ht="39.55" hidden="false" customHeight="false" outlineLevel="0" collapsed="false">
      <c r="A26" s="47" t="n">
        <v>20</v>
      </c>
      <c r="B26" s="50" t="s">
        <v>623</v>
      </c>
      <c r="C26" s="9" t="s">
        <v>664</v>
      </c>
      <c r="D26" s="9" t="s">
        <v>665</v>
      </c>
      <c r="E26" s="9" t="s">
        <v>666</v>
      </c>
    </row>
    <row r="27" customFormat="false" ht="26.85" hidden="false" customHeight="false" outlineLevel="0" collapsed="false">
      <c r="A27" s="47" t="n">
        <v>21</v>
      </c>
      <c r="B27" s="50" t="s">
        <v>623</v>
      </c>
      <c r="C27" s="9" t="s">
        <v>667</v>
      </c>
      <c r="D27" s="9" t="s">
        <v>668</v>
      </c>
      <c r="E27" s="9" t="s">
        <v>669</v>
      </c>
    </row>
    <row r="28" customFormat="false" ht="39.55" hidden="false" customHeight="false" outlineLevel="0" collapsed="false">
      <c r="A28" s="47" t="n">
        <v>16</v>
      </c>
      <c r="B28" s="50" t="s">
        <v>639</v>
      </c>
      <c r="C28" s="10" t="s">
        <v>670</v>
      </c>
      <c r="D28" s="9" t="s">
        <v>671</v>
      </c>
      <c r="E28" s="9" t="s">
        <v>672</v>
      </c>
    </row>
    <row r="29" customFormat="false" ht="39.55" hidden="false" customHeight="false" outlineLevel="0" collapsed="false">
      <c r="A29" s="47" t="n">
        <v>17</v>
      </c>
      <c r="B29" s="50" t="s">
        <v>623</v>
      </c>
      <c r="C29" s="9" t="s">
        <v>673</v>
      </c>
      <c r="D29" s="9" t="s">
        <v>674</v>
      </c>
      <c r="E29" s="9" t="s">
        <v>675</v>
      </c>
    </row>
    <row r="30" customFormat="false" ht="39.55" hidden="false" customHeight="false" outlineLevel="0" collapsed="false">
      <c r="A30" s="47" t="n">
        <v>18</v>
      </c>
      <c r="B30" s="50" t="s">
        <v>287</v>
      </c>
      <c r="C30" s="9" t="s">
        <v>676</v>
      </c>
      <c r="D30" s="9" t="s">
        <v>677</v>
      </c>
      <c r="E30" s="9" t="s">
        <v>678</v>
      </c>
    </row>
    <row r="31" customFormat="false" ht="26.85" hidden="false" customHeight="false" outlineLevel="0" collapsed="false">
      <c r="A31" s="47" t="n">
        <v>19</v>
      </c>
      <c r="B31" s="50" t="s">
        <v>639</v>
      </c>
      <c r="C31" s="9" t="s">
        <v>679</v>
      </c>
      <c r="D31" s="9" t="s">
        <v>680</v>
      </c>
      <c r="E31" s="9" t="s">
        <v>681</v>
      </c>
    </row>
    <row r="32" customFormat="false" ht="39.55" hidden="false" customHeight="false" outlineLevel="0" collapsed="false">
      <c r="A32" s="47" t="n">
        <v>15</v>
      </c>
      <c r="B32" s="50" t="s">
        <v>639</v>
      </c>
      <c r="C32" s="9" t="s">
        <v>682</v>
      </c>
      <c r="D32" s="9" t="s">
        <v>683</v>
      </c>
      <c r="E32" s="9" t="s">
        <v>684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2026-08-19T13:17:26Z</dcterms:created>
  <dc:creator>openpyxl</dc:creator>
  <dc:description/>
  <dc:language>en-US</dc:language>
  <cp:lastModifiedBy/>
  <dcterms:modified xsi:type="dcterms:W3CDTF">2026-08-19T13:17:26Z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