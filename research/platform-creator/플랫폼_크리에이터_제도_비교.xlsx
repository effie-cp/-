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전속 제도" sheetId="1" state="visible" r:id="rId3"/>
    <sheet name="2. 비전속 제도" sheetId="2" state="visible" r:id="rId4"/>
    <sheet name="3. 정산 단가" sheetId="3" state="visible" r:id="rId5"/>
    <sheet name="4. 등급표" sheetId="4" state="visible" r:id="rId6"/>
    <sheet name="5. 출처·미확인" sheetId="5" state="visible" r:id="rId7"/>
    <sheet name="6. 시사점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<sst xmlns="http://schemas.openxmlformats.org/spreadsheetml/2006/main" count="671" uniqueCount="434">
  <si>
    <t xml:space="preserve">전속 크리에이터 제도 비교 — 자사에만 작품을 올리는 조건의 크리에이터 단위 계약</t>
  </si>
  <si>
    <r>
      <rPr>
        <i val="true"/>
        <sz val="9"/>
        <color rgb="FF595959"/>
        <rFont val="WenQuanYi Zen Hei"/>
        <family val="2"/>
      </rPr>
      <t xml:space="preserve">조사일 </t>
    </r>
    <r>
      <rPr>
        <i val="true"/>
        <sz val="9"/>
        <color rgb="FF595959"/>
        <rFont val="맑은 고딕"/>
        <family val="0"/>
        <charset val="1"/>
      </rPr>
      <t xml:space="preserve">2026-08-19 · </t>
    </r>
    <r>
      <rPr>
        <i val="true"/>
        <sz val="9"/>
        <color rgb="FF595959"/>
        <rFont val="WenQuanYi Zen Hei"/>
        <family val="2"/>
      </rPr>
      <t xml:space="preserve">각 플랫폼 공식 안내 문서 기준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근거 등급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공식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제보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추정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미확인</t>
    </r>
  </si>
  <si>
    <r>
      <rPr>
        <i val="true"/>
        <sz val="9"/>
        <color rgb="FF595959"/>
        <rFont val="WenQuanYi Zen Hei"/>
        <family val="2"/>
      </rPr>
      <t xml:space="preserve">※ 루나톡은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공식 크리에이터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라는 이름을 쓰지만 독점을 요구하지 않습니다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성격이 다르므로 구분해서 읽어주세요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</si>
  <si>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항목</t>
  </si>
  <si>
    <t xml:space="preserve">케이브덕</t>
  </si>
  <si>
    <t xml:space="preserve">베이비챗</t>
  </si>
  <si>
    <t xml:space="preserve">스토리엔진</t>
  </si>
  <si>
    <t xml:space="preserve">루나톡</t>
  </si>
  <si>
    <t xml:space="preserve">제도명</t>
  </si>
  <si>
    <t xml:space="preserve">공식 크리에이터</t>
  </si>
  <si>
    <t xml:space="preserve">파트너 크리에이터 프로그램</t>
  </si>
  <si>
    <r>
      <rPr>
        <sz val="10"/>
        <rFont val="WenQuanYi Zen Hei"/>
        <family val="2"/>
      </rPr>
      <t xml:space="preserve">공식 크리에이터 지원 제도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메테오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슈퍼노바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어스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</t>
    </r>
    <r>
      <rPr>
        <sz val="10"/>
        <rFont val="맑은 고딕"/>
        <family val="0"/>
        <charset val="1"/>
      </rPr>
      <t xml:space="preserve">)</t>
    </r>
  </si>
  <si>
    <t xml:space="preserve">독점 요구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</si>
  <si>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신규작 단위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</si>
  <si>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전면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</si>
  <si>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요구 없음</t>
    </r>
  </si>
  <si>
    <t xml:space="preserve">모집 방식</t>
  </si>
  <si>
    <t xml:space="preserve">상시 공개 신청</t>
  </si>
  <si>
    <r>
      <rPr>
        <sz val="10"/>
        <rFont val="WenQuanYi Zen Hei"/>
        <family val="2"/>
      </rPr>
      <t xml:space="preserve">초대 전용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신청 폼 없음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상시 발굴제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</si>
  <si>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모집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디스코드 접수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</si>
  <si>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기수제 공개 모집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등급별 인원 제한 </t>
    </r>
    <r>
      <rPr>
        <sz val="10"/>
        <rFont val="맑은 고딕"/>
        <family val="0"/>
        <charset val="1"/>
      </rPr>
      <t xml:space="preserve">10/10/5/10/5</t>
    </r>
    <r>
      <rPr>
        <sz val="10"/>
        <rFont val="WenQuanYi Zen Hei"/>
        <family val="2"/>
      </rPr>
      <t xml:space="preserve">명</t>
    </r>
  </si>
  <si>
    <t xml:space="preserve">신청 조건</t>
  </si>
  <si>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공개된 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 이상</t>
    </r>
  </si>
  <si>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누적채팅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우선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타이틀과 무관하게 후보 가능</t>
    </r>
  </si>
  <si>
    <r>
      <rPr>
        <sz val="10"/>
        <rFont val="WenQuanYi Zen Hei"/>
        <family val="2"/>
      </rPr>
      <t xml:space="preserve">스토리엔진 제작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 이상</t>
    </r>
  </si>
  <si>
    <r>
      <rPr>
        <sz val="10"/>
        <rFont val="WenQuanYi Zen Hei"/>
        <family val="2"/>
      </rPr>
      <t xml:space="preserve">공통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루나톡에서 활동중이거나 활동 예정인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플랫폼 활동작가</t>
    </r>
    <r>
      <rPr>
        <sz val="10"/>
        <rFont val="맑은 고딕"/>
        <family val="0"/>
        <charset val="1"/>
      </rPr>
      <t xml:space="preserve">' + </t>
    </r>
    <r>
      <rPr>
        <sz val="10"/>
        <rFont val="WenQuanYi Zen Hei"/>
        <family val="2"/>
      </rPr>
      <t xml:space="preserve">루나톡 제작 작품 총 채팅수 </t>
    </r>
    <r>
      <rPr>
        <sz val="10"/>
        <rFont val="맑은 고딕"/>
        <family val="0"/>
        <charset val="1"/>
      </rPr>
      <t xml:space="preserve">7K </t>
    </r>
    <r>
      <rPr>
        <sz val="10"/>
        <rFont val="WenQuanYi Zen Hei"/>
        <family val="2"/>
      </rPr>
      <t xml:space="preserve">이상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대화수 </t>
    </r>
    <r>
      <rPr>
        <sz val="10"/>
        <rFont val="맑은 고딕"/>
        <family val="0"/>
        <charset val="1"/>
      </rPr>
      <t xml:space="preserve">10~80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1~10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50~300</t>
    </r>
    <r>
      <rPr>
        <sz val="10"/>
        <rFont val="WenQuanYi Zen Hei"/>
        <family val="2"/>
      </rPr>
      <t xml:space="preserve">명</t>
    </r>
  </si>
  <si>
    <t xml:space="preserve">심사 방식</t>
  </si>
  <si>
    <r>
      <rPr>
        <sz val="10"/>
        <rFont val="WenQuanYi Zen Hei"/>
        <family val="2"/>
      </rPr>
      <t xml:space="preserve">관리자 검수 → 신청 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이내 고객센터 통해 선정 여부 통보</t>
    </r>
  </si>
  <si>
    <r>
      <rPr>
        <sz val="10"/>
        <rFont val="WenQuanYi Zen Hei"/>
        <family val="2"/>
      </rPr>
      <t xml:space="preserve">운영진 상시 모니터링 → 정성 평가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독창성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완성도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커뮤니티 기여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개별 연락 → 협의 → 계약 체결</t>
    </r>
  </si>
  <si>
    <t xml:space="preserve">명시 없음</t>
  </si>
  <si>
    <t xml:space="preserve">이주 크리에이터 트랙</t>
  </si>
  <si>
    <t xml:space="preserve">없음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</si>
  <si>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타 플랫폼 실적으로 지원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/800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메테오는 없음</t>
    </r>
    <r>
      <rPr>
        <sz val="10"/>
        <rFont val="맑은 고딕"/>
        <family val="0"/>
        <charset val="1"/>
      </rPr>
      <t xml:space="preserve">)</t>
    </r>
  </si>
  <si>
    <t xml:space="preserve">독점 범위</t>
  </si>
  <si>
    <r>
      <rPr>
        <sz val="10"/>
        <rFont val="WenQuanYi Zen Hei"/>
        <family val="2"/>
      </rPr>
      <t xml:space="preserve">신규 공개 캐릭터는 전부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로만 업로드 — 타 플랫폼 업로드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공식 선정 이전 캐릭터의 전환은 선택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게시분은 전환 불가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타 플랫폼 활동 자체는 금지하지 않으나 케이브덕을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주력 플랫폼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활동해야 하며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리메이크 캐릭터는 업로드 제한</t>
    </r>
  </si>
  <si>
    <r>
      <rPr>
        <sz val="10"/>
        <rFont val="맑은 고딕"/>
        <family val="0"/>
        <charset val="1"/>
      </rPr>
      <t xml:space="preserve">'B Only 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모든 활동을 베이비챗에서만 선보임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 전면 전속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</si>
  <si>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스토리엔진과 유사하게 캐릭터챗 서비스를 제공하는 플랫폼을 오직 스토리엔진만 사용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경쟁 플랫폼 전면 금지</t>
    </r>
  </si>
  <si>
    <r>
      <rPr>
        <sz val="10"/>
        <rFont val="WenQuanYi Zen Hei"/>
        <family val="2"/>
      </rPr>
      <t xml:space="preserve">독점 요구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플랫폼 활동작가를 명시적 모집 대상으로 삼음</t>
    </r>
  </si>
  <si>
    <t xml:space="preserve">독점 기간</t>
  </si>
  <si>
    <r>
      <rPr>
        <sz val="10"/>
        <rFont val="WenQuanYi Zen Hei"/>
        <family val="2"/>
      </rPr>
      <t xml:space="preserve">영구 — 공식 크리에이터의 오리지널 캐릭터는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이후에도 해제 불가</t>
    </r>
  </si>
  <si>
    <t xml:space="preserve">미공개</t>
  </si>
  <si>
    <t xml:space="preserve">미명시</t>
  </si>
  <si>
    <t xml:space="preserve">해당 없음</t>
  </si>
  <si>
    <t xml:space="preserve">정산 우대</t>
  </si>
  <si>
    <r>
      <rPr>
        <sz val="10"/>
        <rFont val="WenQuanYi Zen Hei"/>
        <family val="2"/>
      </rPr>
      <t xml:space="preserve">① 채팅 인센티브 일반 대비 </t>
    </r>
    <r>
      <rPr>
        <sz val="10"/>
        <rFont val="맑은 고딕"/>
        <family val="0"/>
        <charset val="1"/>
      </rPr>
      <t xml:space="preserve">+2pt (Opus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+10%, </t>
    </r>
    <r>
      <rPr>
        <sz val="10"/>
        <rFont val="WenQuanYi Zen Hei"/>
        <family val="2"/>
      </rPr>
      <t xml:space="preserve">저가 모델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종은 </t>
    </r>
    <r>
      <rPr>
        <sz val="10"/>
        <rFont val="맑은 고딕"/>
        <family val="0"/>
        <charset val="1"/>
      </rPr>
      <t xml:space="preserve">0%)
② </t>
    </r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→ 10%
③ </t>
    </r>
    <r>
      <rPr>
        <sz val="10"/>
        <rFont val="WenQuanYi Zen Hei"/>
        <family val="2"/>
      </rPr>
      <t xml:space="preserve">최대 출금 한도 상향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수치 충돌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출처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</si>
  <si>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수준의 특별 정산 비율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적용이라고만 서술 — 구체 수치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하이퍼 타이틀 전 혜택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B Only 20%)</t>
    </r>
    <r>
      <rPr>
        <sz val="10"/>
        <rFont val="WenQuanYi Zen Hei"/>
        <family val="2"/>
      </rPr>
      <t xml:space="preserve">을 기본 제공 </t>
    </r>
    <r>
      <rPr>
        <sz val="10"/>
        <rFont val="맑은 고딕"/>
        <family val="0"/>
        <charset val="1"/>
      </rPr>
      <t xml:space="preserve">+ α</t>
    </r>
  </si>
  <si>
    <t xml:space="preserve">없음 — 혜택 목록에 요율 인상 항목이 존재하지 않음</t>
  </si>
  <si>
    <r>
      <rPr>
        <sz val="10"/>
        <rFont val="WenQuanYi Zen Hei"/>
        <family val="2"/>
      </rPr>
      <t xml:space="preserve">후원 포인트 크리에이터 몫 </t>
    </r>
    <r>
      <rPr>
        <sz val="10"/>
        <rFont val="맑은 고딕"/>
        <family val="0"/>
        <charset val="1"/>
      </rPr>
      <t xml:space="preserve">90% / 95% / 97% / 97%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채팅 자체의 정산 구조는 자료 범위 밖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</si>
  <si>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t xml:space="preserve">사이닝 보너스</t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</si>
  <si>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</si>
  <si>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웰컴키트 — 수첩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볼펜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마스코트 키링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아크릴스탠드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머그컵</t>
    </r>
    <r>
      <rPr>
        <sz val="10"/>
        <rFont val="맑은 고딕"/>
        <family val="0"/>
        <charset val="1"/>
      </rPr>
      <t xml:space="preserve">, GeForce RTX 5060 Ti 16GB </t>
    </r>
    <r>
      <rPr>
        <sz val="10"/>
        <rFont val="WenQuanYi Zen Hei"/>
        <family val="2"/>
      </rPr>
      <t xml:space="preserve">그래픽카드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불필요 시 대체 가능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</si>
  <si>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초회 한정 달성 보상 루나톡 </t>
    </r>
    <r>
      <rPr>
        <sz val="10"/>
        <rFont val="맑은 고딕"/>
        <family val="0"/>
        <charset val="1"/>
      </rPr>
      <t xml:space="preserve">50,000P / 100,000P / 200,000P (</t>
    </r>
    <r>
      <rPr>
        <sz val="10"/>
        <rFont val="WenQuanYi Zen Hei"/>
        <family val="2"/>
      </rPr>
      <t xml:space="preserve">어스까지 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등급 미표기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기 특별</t>
    </r>
    <r>
      <rPr>
        <sz val="10"/>
        <rFont val="맑은 고딕"/>
        <family val="0"/>
        <charset val="1"/>
      </rPr>
      <t xml:space="preserve">: 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</si>
  <si>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b val="true"/>
        <sz val="10"/>
        <rFont val="WenQuanYi Zen Hei"/>
        <family val="2"/>
      </rPr>
      <t xml:space="preserve">노출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마케팅</t>
    </r>
  </si>
  <si>
    <r>
      <rPr>
        <sz val="10"/>
        <rFont val="WenQuanYi Zen Hei"/>
        <family val="2"/>
      </rPr>
      <t xml:space="preserve">메인 페이지 내 공식 크리에이터 전용 섹션 신설 및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페이지 공식 뱃지</t>
    </r>
  </si>
  <si>
    <r>
      <rPr>
        <sz val="10"/>
        <rFont val="WenQuanYi Zen Hei"/>
        <family val="2"/>
      </rPr>
      <t xml:space="preserve">공식 뱃지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프로필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전담 채널 통한 최우선 마케팅 지원</t>
    </r>
  </si>
  <si>
    <r>
      <rPr>
        <sz val="10"/>
        <rFont val="WenQuanYi Zen Hei"/>
        <family val="2"/>
      </rPr>
      <t xml:space="preserve">파트너 전용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배너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라이브 광고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커뮤니티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홍보</t>
    </r>
    <r>
      <rPr>
        <sz val="10"/>
        <rFont val="맑은 고딕"/>
        <family val="0"/>
        <charset val="1"/>
      </rPr>
      <t xml:space="preserve">, SFW 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유입 시 추천 마케팅 비용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 인증 배지</t>
    </r>
  </si>
  <si>
    <r>
      <rPr>
        <sz val="10"/>
        <rFont val="WenQuanYi Zen Hei"/>
        <family val="2"/>
      </rPr>
      <t xml:space="preserve">등급별 엠블럼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추천작품 기재 및 배너 홍보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상위 등급은 우선 지원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공식 행사 초대 및 우대</t>
    </r>
  </si>
  <si>
    <r>
      <rPr>
        <b val="true"/>
        <sz val="10"/>
        <rFont val="WenQuanYi Zen Hei"/>
        <family val="2"/>
      </rPr>
      <t xml:space="preserve">제작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기술 지원</t>
    </r>
  </si>
  <si>
    <r>
      <rPr>
        <sz val="10"/>
        <rFont val="WenQuanYi Zen Hei"/>
        <family val="2"/>
      </rPr>
      <t xml:space="preserve">신규 모델 및 기능 테스트 우선 참여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캐릭터 제작 시 이미지 재분류 프리 패스</t>
    </r>
  </si>
  <si>
    <r>
      <rPr>
        <sz val="10"/>
        <rFont val="WenQuanYi Zen Hei"/>
        <family val="2"/>
      </rPr>
      <t xml:space="preserve">신규 기능 기획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개발 참여 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테스트 우선 참여</t>
    </r>
  </si>
  <si>
    <r>
      <rPr>
        <sz val="10"/>
        <rFont val="WenQuanYi Zen Hei"/>
        <family val="2"/>
      </rPr>
      <t xml:space="preserve">챗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테스트용 크레딧 지원</t>
    </r>
    <r>
      <rPr>
        <sz val="10"/>
        <rFont val="맑은 고딕"/>
        <family val="0"/>
        <charset val="1"/>
      </rPr>
      <t xml:space="preserve">, Novel AI </t>
    </r>
    <r>
      <rPr>
        <sz val="10"/>
        <rFont val="WenQuanYi Zen Hei"/>
        <family val="2"/>
      </rPr>
      <t xml:space="preserve">연간 구독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챗 전용 신규 웹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앱 얼리 액세스</t>
    </r>
  </si>
  <si>
    <r>
      <rPr>
        <sz val="10"/>
        <rFont val="맑은 고딕"/>
        <family val="0"/>
        <charset val="1"/>
      </rPr>
      <t xml:space="preserve">NovelAI OPUS </t>
    </r>
    <r>
      <rPr>
        <sz val="10"/>
        <rFont val="WenQuanYi Zen Hei"/>
        <family val="2"/>
      </rPr>
      <t xml:space="preserve">또는 </t>
    </r>
    <r>
      <rPr>
        <sz val="10"/>
        <rFont val="맑은 고딕"/>
        <family val="0"/>
        <charset val="1"/>
      </rPr>
      <t xml:space="preserve">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스탠다드→상위 등급 프리미엄</t>
    </r>
    <r>
      <rPr>
        <sz val="10"/>
        <rFont val="맑은 고딕"/>
        <family val="0"/>
        <charset val="1"/>
      </rPr>
      <t xml:space="preserve">), ITIMG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10~100GB, </t>
    </r>
    <r>
      <rPr>
        <sz val="10"/>
        <rFont val="WenQuanYi Zen Hei"/>
        <family val="2"/>
      </rPr>
      <t xml:space="preserve">스테이블 디퓨전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BGM 3~30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완전 오리지널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프롬프트 기술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이상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신규 기능 얼리액세스</t>
    </r>
  </si>
  <si>
    <t xml:space="preserve">사업 확장 지원</t>
  </si>
  <si>
    <r>
      <rPr>
        <sz val="10"/>
        <rFont val="WenQuanYi Zen Hei"/>
        <family val="2"/>
      </rPr>
      <t xml:space="preserve">글로벌 동시 진출 및 번역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현지화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일본 런칭 완료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글로벌 서비스 기획 참여</t>
    </r>
    <r>
      <rPr>
        <sz val="10"/>
        <rFont val="맑은 고딕"/>
        <family val="0"/>
        <charset val="1"/>
      </rPr>
      <t xml:space="preserve">, IP </t>
    </r>
    <r>
      <rPr>
        <sz val="10"/>
        <rFont val="WenQuanYi Zen Hei"/>
        <family val="2"/>
      </rPr>
      <t xml:space="preserve">사업화 우선 협상 및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파트너십 전담 담당자 배정</t>
    </r>
  </si>
  <si>
    <r>
      <rPr>
        <sz val="10"/>
        <rFont val="WenQuanYi Zen Hei"/>
        <family val="2"/>
      </rPr>
      <t xml:space="preserve">일본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북미 현지화 무료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포함</t>
    </r>
    <r>
      <rPr>
        <sz val="10"/>
        <rFont val="맑은 고딕"/>
        <family val="0"/>
        <charset val="1"/>
      </rPr>
      <t xml:space="preserve">), IP </t>
    </r>
    <r>
      <rPr>
        <sz val="10"/>
        <rFont val="WenQuanYi Zen Hei"/>
        <family val="2"/>
      </rPr>
      <t xml:space="preserve">기반 애니메이션 제작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분기별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굿즈 무료 제작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다른 크리에이터와 협업 및 수익 쉐어</t>
    </r>
  </si>
  <si>
    <r>
      <rPr>
        <sz val="10"/>
        <rFont val="WenQuanYi Zen Hei"/>
        <family val="2"/>
      </rPr>
      <t xml:space="preserve">공식 굿즈 제작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어스 한정 → 상위 확정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크리에이터 여행 지원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풀문 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)</t>
    </r>
  </si>
  <si>
    <t xml:space="preserve">유지 조건</t>
  </si>
  <si>
    <r>
      <rPr>
        <sz val="10"/>
        <rFont val="WenQuanYi Zen Hei"/>
        <family val="2"/>
      </rPr>
      <t xml:space="preserve">오리지널 캐릭터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(3,000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— 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캐릭터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링크공개는 집계 제외</t>
    </r>
    <r>
      <rPr>
        <sz val="10"/>
        <rFont val="맑은 고딕"/>
        <family val="0"/>
        <charset val="1"/>
      </rPr>
      <t xml:space="preserve">.
6</t>
    </r>
    <r>
      <rPr>
        <sz val="10"/>
        <rFont val="WenQuanYi Zen Hei"/>
        <family val="2"/>
      </rPr>
      <t xml:space="preserve">개월에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유지 조건 유예 가능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신청</t>
    </r>
    <r>
      <rPr>
        <sz val="10"/>
        <rFont val="맑은 고딕"/>
        <family val="0"/>
        <charset val="1"/>
      </rPr>
      <t xml:space="preserve">)</t>
    </r>
  </si>
  <si>
    <t xml:space="preserve">위반 시 제재</t>
  </si>
  <si>
    <t xml:space="preserve">① 공식 크리에이터 기간 내 적립된 인센티브 회수
② 크리에이터 활동 일정 기간 제재
③ 자격 박탈 및 추후 신청 시 패널티 부과</t>
  </si>
  <si>
    <r>
      <rPr>
        <b val="true"/>
        <sz val="10"/>
        <rFont val="WenQuanYi Zen Hei"/>
        <family val="2"/>
      </rPr>
      <t xml:space="preserve">거절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미선정 시</t>
    </r>
  </si>
  <si>
    <r>
      <rPr>
        <sz val="10"/>
        <rFont val="WenQuanYi Zen Hei"/>
        <family val="2"/>
      </rPr>
      <t xml:space="preserve">신청제이므로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제안 거절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미선정 시 불이익 명시 없음</t>
    </r>
  </si>
  <si>
    <t xml:space="preserve">제안을 거절해도 불이익 없음 — 기존 타이틀과 모든 혜택 유지</t>
  </si>
  <si>
    <t xml:space="preserve">정책 변경</t>
  </si>
  <si>
    <r>
      <rPr>
        <sz val="10"/>
        <rFont val="WenQuanYi Zen Hei"/>
        <family val="2"/>
      </rPr>
      <t xml:space="preserve">조건은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삭제될 수 있으며 변경 시 공식 크리에이터에게 별도 안내</t>
    </r>
  </si>
  <si>
    <t xml:space="preserve">서비스 운영 상황에 따라 사전 고지 없이 변경 가능</t>
  </si>
  <si>
    <r>
      <rPr>
        <sz val="10"/>
        <rFont val="WenQuanYi Zen Hei"/>
        <family val="2"/>
      </rPr>
      <t xml:space="preserve">모델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크레딧 분배량은 제공사 가격 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환율에 따라 조정 가능</t>
    </r>
  </si>
  <si>
    <t xml:space="preserve">근거 등급</t>
  </si>
  <si>
    <t xml:space="preserve">공식</t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</si>
  <si>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혜택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정산율 수치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</si>
  <si>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안내 이미지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</si>
  <si>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t xml:space="preserve">한눈에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</si>
  <si>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전속은 이미 희소한 자격이 아님 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</si>
  <si>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전속의 대가를 숫자로 약속하는 곳이 없음 — 케이브덕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베이비챗 비공개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우대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</si>
  <si>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 강도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</si>
  <si>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위약 조항이 있는 곳은 케이브덕뿐 — 적립금 소급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조건이 가장 구체적인 동시에 리스크도 가장 큼</t>
    </r>
  </si>
  <si>
    <r>
      <rPr>
        <b val="true"/>
        <sz val="14"/>
        <rFont val="WenQuanYi Zen Hei"/>
        <family val="2"/>
      </rPr>
      <t xml:space="preserve">비전속 크리에이터 제도 비교 — 계약 없이 활동하는 일반 크리에이터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작품 단위 독점</t>
    </r>
  </si>
  <si>
    <r>
      <rPr>
        <i val="true"/>
        <sz val="9"/>
        <color rgb="FF595959"/>
        <rFont val="WenQuanYi Zen Hei"/>
        <family val="2"/>
      </rPr>
      <t xml:space="preserve">① 일반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플랫폼과 계약 없이 작품 단위로 정산  ② 독점작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특정 작품만 해당 플랫폼에 독점 공개하고 정산 우대</t>
    </r>
  </si>
  <si>
    <t xml:space="preserve">구분</t>
  </si>
  <si>
    <t xml:space="preserve">일반</t>
  </si>
  <si>
    <t xml:space="preserve">케이브덕 인센티브</t>
  </si>
  <si>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</si>
  <si>
    <t xml:space="preserve">비용 정산</t>
  </si>
  <si>
    <t xml:space="preserve">미확인</t>
  </si>
  <si>
    <t xml:space="preserve">정산 구조</t>
  </si>
  <si>
    <r>
      <rPr>
        <sz val="10"/>
        <rFont val="WenQuanYi Zen Hei"/>
        <family val="2"/>
      </rPr>
      <t xml:space="preserve">채팅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액션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포인트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</si>
  <si>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r>
      <rPr>
        <sz val="10"/>
        <rFont val="맑은 고딕"/>
        <family val="0"/>
        <charset val="1"/>
      </rPr>
      <t xml:space="preserve">①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정률 정산 ②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적립 — 구매 프로챗 소모량의 정률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</si>
  <si>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크레딧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</si>
  <si>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t xml:space="preserve">크리에이터 몫</t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</si>
  <si>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1~20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(1pt = 0.6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</si>
  <si>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70~90% /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</si>
  <si>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0.6~3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</si>
  <si>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t xml:space="preserve">현금 환산율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</si>
  <si>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0.6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출금표에서 역산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 구간 모두 일정</t>
    </r>
    <r>
      <rPr>
        <sz val="10"/>
        <rFont val="맑은 고딕"/>
        <family val="0"/>
        <charset val="1"/>
      </rPr>
      <t xml:space="preserve">)</t>
    </r>
  </si>
  <si>
    <t xml:space="preserve">베리는 현금 환산 불가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</si>
  <si>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문서에 직접 명시</t>
    </r>
    <r>
      <rPr>
        <sz val="10"/>
        <rFont val="맑은 고딕"/>
        <family val="0"/>
        <charset val="1"/>
      </rPr>
      <t xml:space="preserve">)</t>
    </r>
  </si>
  <si>
    <t xml:space="preserve">현금 출금</t>
  </si>
  <si>
    <t xml:space="preserve">가능</t>
  </si>
  <si>
    <r>
      <rPr>
        <sz val="10"/>
        <rFont val="WenQuanYi Zen Hei"/>
        <family val="2"/>
      </rPr>
      <t xml:space="preserve">불가 — 베리는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 가능</t>
    </r>
  </si>
  <si>
    <t xml:space="preserve">실질 회수율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</si>
  <si>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깃털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</si>
  <si>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10~13% → </t>
    </r>
    <r>
      <rPr>
        <sz val="10"/>
        <rFont val="WenQuanYi Zen Hei"/>
        <family val="2"/>
      </rPr>
      <t xml:space="preserve">프로챗 전환 후 실질 </t>
    </r>
    <r>
      <rPr>
        <sz val="10"/>
        <rFont val="맑은 고딕"/>
        <family val="0"/>
        <charset val="1"/>
      </rPr>
      <t xml:space="preserve">1.0~1.3%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</si>
  <si>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충전 가격표 필요</t>
    </r>
    <r>
      <rPr>
        <sz val="10"/>
        <rFont val="맑은 고딕"/>
        <family val="0"/>
        <charset val="1"/>
      </rPr>
      <t xml:space="preserve">)</t>
    </r>
  </si>
  <si>
    <t xml:space="preserve">최소 정산액</t>
  </si>
  <si>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</si>
  <si>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5,000 (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현금 해당 없음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</si>
  <si>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</t>
    </r>
  </si>
  <si>
    <t xml:space="preserve">정산 주기</t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</si>
  <si>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지급일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</si>
  <si>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즉시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</si>
  <si>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전부 휴일이면 다음 영업일</t>
    </r>
  </si>
  <si>
    <t xml:space="preserve">활성화 조건</t>
  </si>
  <si>
    <r>
      <rPr>
        <sz val="10"/>
        <rFont val="WenQuanYi Zen Hei"/>
        <family val="2"/>
      </rPr>
      <t xml:space="preserve">작품별로 구매 프로챗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회를 채워야 베리 활성화</t>
    </r>
    <r>
      <rPr>
        <sz val="10"/>
        <rFont val="맑은 고딕"/>
        <family val="0"/>
        <charset val="1"/>
      </rPr>
      <t xml:space="preserve">. 1~499</t>
    </r>
    <r>
      <rPr>
        <sz val="10"/>
        <rFont val="WenQuanYi Zen Hei"/>
        <family val="2"/>
      </rPr>
      <t xml:space="preserve">회는 누적만 되고 사용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합산 불가</t>
    </r>
    <r>
      <rPr>
        <sz val="10"/>
        <rFont val="맑은 고딕"/>
        <family val="0"/>
        <charset val="1"/>
      </rPr>
      <t xml:space="preserve">)</t>
    </r>
  </si>
  <si>
    <t xml:space="preserve">적립 제외</t>
  </si>
  <si>
    <r>
      <rPr>
        <sz val="10"/>
        <rFont val="WenQuanYi Zen Hei"/>
        <family val="2"/>
      </rPr>
      <t xml:space="preserve">본인 캐릭터와의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비회원 대화</t>
    </r>
  </si>
  <si>
    <r>
      <rPr>
        <sz val="10"/>
        <rFont val="WenQuanYi Zen Hei"/>
        <family val="2"/>
      </rPr>
      <t xml:space="preserve">무료 프로챗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메모리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최대기억량 조절로 발생한 프로챗</t>
    </r>
  </si>
  <si>
    <r>
      <rPr>
        <sz val="10"/>
        <rFont val="WenQuanYi Zen Hei"/>
        <family val="2"/>
      </rPr>
      <t xml:space="preserve">보너스 크레딧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이벤트 무상 지급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발생 매출</t>
    </r>
  </si>
  <si>
    <t xml:space="preserve">본인 대화 적립</t>
  </si>
  <si>
    <t xml:space="preserve">불가</t>
  </si>
  <si>
    <t xml:space="preserve">가능 — 본인이 본인 작품에 사용한 프로챗도 적립</t>
  </si>
  <si>
    <r>
      <rPr>
        <b val="true"/>
        <sz val="10"/>
        <rFont val="WenQuanYi Zen Hei"/>
        <family val="2"/>
      </rPr>
      <t xml:space="preserve">유효기간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소멸</t>
    </r>
  </si>
  <si>
    <r>
      <rPr>
        <sz val="10"/>
        <rFont val="WenQuanYi Zen Hei"/>
        <family val="2"/>
      </rPr>
      <t xml:space="preserve">적립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후 익월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 자정 자동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휴면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탈퇴 시 즉시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활성화 전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회 미달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베리도 동일 적용</t>
    </r>
  </si>
  <si>
    <r>
      <rPr>
        <b val="true"/>
        <sz val="10"/>
        <rFont val="WenQuanYi Zen Hei"/>
        <family val="2"/>
      </rPr>
      <t xml:space="preserve">후원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선물 정산</t>
    </r>
  </si>
  <si>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(</t>
    </r>
    <r>
      <rPr>
        <sz val="10"/>
        <rFont val="WenQuanYi Zen Hei"/>
        <family val="2"/>
      </rPr>
      <t xml:space="preserve">크리에이터 몫 </t>
    </r>
    <r>
      <rPr>
        <sz val="10"/>
        <rFont val="맑은 고딕"/>
        <family val="0"/>
        <charset val="1"/>
      </rPr>
      <t xml:space="preserve">80%)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</si>
  <si>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모수 미확인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</si>
  <si>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 </t>
    </r>
    <r>
      <rPr>
        <sz val="10"/>
        <rFont val="WenQuanYi Zen Hei"/>
        <family val="2"/>
      </rPr>
      <t xml:space="preserve">해석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</si>
  <si>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등급별 후원 포인트 </t>
    </r>
    <r>
      <rPr>
        <sz val="10"/>
        <rFont val="맑은 고딕"/>
        <family val="0"/>
        <charset val="1"/>
      </rPr>
      <t xml:space="preserve">90~97%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공식 크리에이터 등급 기준</t>
    </r>
    <r>
      <rPr>
        <sz val="10"/>
        <rFont val="맑은 고딕"/>
        <family val="0"/>
        <charset val="1"/>
      </rPr>
      <t xml:space="preserve">)</t>
    </r>
  </si>
  <si>
    <t xml:space="preserve">계약 필요 여부</t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</si>
  <si>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동의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</si>
  <si>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필요 — 첫 매출 발생 후 창작자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주민번호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제출</t>
    </r>
    <r>
      <rPr>
        <sz val="10"/>
        <rFont val="맑은 고딕"/>
        <family val="0"/>
        <charset val="1"/>
      </rPr>
      <t xml:space="preserve">)</t>
    </r>
  </si>
  <si>
    <t xml:space="preserve">해외 크리에이터</t>
  </si>
  <si>
    <t xml:space="preserve">베리샵 교환은 본인인증에 사용한 한국 휴대폰 번호로만 가능 → 사실상 배제</t>
  </si>
  <si>
    <t xml:space="preserve">독점작</t>
  </si>
  <si>
    <t xml:space="preserve">케이브덕 오리지널 캐릭터</t>
  </si>
  <si>
    <t xml:space="preserve">B Only</t>
  </si>
  <si>
    <t xml:space="preserve">등록 방식</t>
  </si>
  <si>
    <r>
      <rPr>
        <sz val="10"/>
        <rFont val="WenQuanYi Zen Hei"/>
        <family val="2"/>
      </rPr>
      <t xml:space="preserve">셀프 토글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공개 설정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 캐릭터</t>
    </r>
    <r>
      <rPr>
        <sz val="10"/>
        <rFont val="맑은 고딕"/>
        <family val="0"/>
        <charset val="1"/>
      </rPr>
      <t xml:space="preserve">' ON</t>
    </r>
  </si>
  <si>
    <r>
      <rPr>
        <sz val="10"/>
        <rFont val="WenQuanYi Zen Hei"/>
        <family val="2"/>
      </rPr>
      <t xml:space="preserve">셀프 스위치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캐릭터 제작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수정</t>
    </r>
    <r>
      <rPr>
        <sz val="10"/>
        <rFont val="맑은 고딕"/>
        <family val="0"/>
        <charset val="1"/>
      </rPr>
      <t xml:space="preserve">] &gt; [</t>
    </r>
    <r>
      <rPr>
        <sz val="10"/>
        <rFont val="WenQuanYi Zen Hei"/>
        <family val="2"/>
      </rPr>
      <t xml:space="preserve">수정 및 등록</t>
    </r>
    <r>
      <rPr>
        <sz val="10"/>
        <rFont val="맑은 고딕"/>
        <family val="0"/>
        <charset val="1"/>
      </rPr>
      <t xml:space="preserve">] &gt; [B Only </t>
    </r>
    <r>
      <rPr>
        <sz val="10"/>
        <rFont val="WenQuanYi Zen Hei"/>
        <family val="2"/>
      </rPr>
      <t xml:space="preserve">설정</t>
    </r>
    <r>
      <rPr>
        <sz val="10"/>
        <rFont val="맑은 고딕"/>
        <family val="0"/>
        <charset val="1"/>
      </rPr>
      <t xml:space="preserve">] ON</t>
    </r>
  </si>
  <si>
    <t xml:space="preserve">-</t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</si>
  <si>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</si>
  <si>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일</t>
    </r>
  </si>
  <si>
    <t xml:space="preserve">기간 중 해제</t>
  </si>
  <si>
    <r>
      <rPr>
        <sz val="10"/>
        <rFont val="WenQuanYi Zen Hei"/>
        <family val="2"/>
      </rPr>
      <t xml:space="preserve">메시지당 </t>
    </r>
    <r>
      <rPr>
        <sz val="10"/>
        <rFont val="맑은 고딕"/>
        <family val="0"/>
        <charset val="1"/>
      </rPr>
      <t xml:space="preserve">+1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고급 모델 한정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일반 대비 </t>
    </r>
    <r>
      <rPr>
        <sz val="10"/>
        <rFont val="맑은 고딕"/>
        <family val="0"/>
        <charset val="1"/>
      </rPr>
      <t xml:space="preserve">+5~25%</t>
    </r>
  </si>
  <si>
    <r>
      <rPr>
        <sz val="10"/>
        <rFont val="WenQuanYi Zen Hei"/>
        <family val="2"/>
      </rPr>
      <t xml:space="preserve">베리 적립률 </t>
    </r>
    <r>
      <rPr>
        <sz val="10"/>
        <rFont val="맑은 고딕"/>
        <family val="0"/>
        <charset val="1"/>
      </rPr>
      <t xml:space="preserve">11~20%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일간 </t>
    </r>
    <r>
      <rPr>
        <sz val="10"/>
        <rFont val="맑은 고딕"/>
        <family val="0"/>
        <charset val="1"/>
      </rPr>
      <t xml:space="preserve">+3%p </t>
    </r>
    <r>
      <rPr>
        <sz val="10"/>
        <rFont val="WenQuanYi Zen Hei"/>
        <family val="2"/>
      </rPr>
      <t xml:space="preserve">추가 → 최대 </t>
    </r>
    <r>
      <rPr>
        <sz val="10"/>
        <rFont val="맑은 고딕"/>
        <family val="0"/>
        <charset val="1"/>
      </rPr>
      <t xml:space="preserve">23%.
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정산율은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여부와 무관</t>
    </r>
  </si>
  <si>
    <r>
      <rPr>
        <sz val="10"/>
        <rFont val="WenQuanYi Zen Hei"/>
        <family val="2"/>
      </rPr>
      <t xml:space="preserve">프로챗 전환 후 </t>
    </r>
    <r>
      <rPr>
        <sz val="10"/>
        <rFont val="맑은 고딕"/>
        <family val="0"/>
        <charset val="1"/>
      </rPr>
      <t xml:space="preserve">1.1~2.3% (</t>
    </r>
    <r>
      <rPr>
        <sz val="10"/>
        <rFont val="WenQuanYi Zen Hei"/>
        <family val="2"/>
      </rPr>
      <t xml:space="preserve">제도상 최대치는 하이퍼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신작의 </t>
    </r>
    <r>
      <rPr>
        <sz val="10"/>
        <rFont val="맑은 고딕"/>
        <family val="0"/>
        <charset val="1"/>
      </rPr>
      <t xml:space="preserve">2.3%)</t>
    </r>
  </si>
  <si>
    <t xml:space="preserve">기존 작품 전환</t>
  </si>
  <si>
    <r>
      <rPr>
        <sz val="10"/>
        <rFont val="WenQuanYi Zen Hei"/>
        <family val="2"/>
      </rPr>
      <t xml:space="preserve">타 플랫폼에서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처리하면 등록 가능</t>
    </r>
  </si>
  <si>
    <r>
      <rPr>
        <sz val="10"/>
        <rFont val="WenQuanYi Zen Hei"/>
        <family val="2"/>
      </rPr>
      <t xml:space="preserve">전환 즉시 타 플랫폼 전부에서 업데이트 중단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중단 공지 게시 의무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공지 문구 예시를 문서에서 제공</t>
    </r>
    <r>
      <rPr>
        <sz val="10"/>
        <rFont val="맑은 고딕"/>
        <family val="0"/>
        <charset val="1"/>
      </rPr>
      <t xml:space="preserve">)</t>
    </r>
  </si>
  <si>
    <t xml:space="preserve">경계 규정</t>
  </si>
  <si>
    <r>
      <rPr>
        <sz val="10"/>
        <rFont val="WenQuanYi Zen Hei"/>
        <family val="2"/>
      </rPr>
      <t xml:space="preserve">세계관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배경만 공유하고 캐릭터 설정이 분명히 다르면 허용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플랫폼 캐릭터의 리메이크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성인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비성인 버전 변경은 불가</t>
    </r>
  </si>
  <si>
    <t xml:space="preserve">위반 시</t>
  </si>
  <si>
    <r>
      <rPr>
        <sz val="10"/>
        <rFont val="WenQuanYi Zen Hei"/>
        <family val="2"/>
      </rPr>
      <t xml:space="preserve">관리자 확인 과정에서 해제 또는 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금전 제재 조항 없음</t>
    </r>
  </si>
  <si>
    <t xml:space="preserve">유저 부담 비용</t>
  </si>
  <si>
    <r>
      <rPr>
        <sz val="10"/>
        <rFont val="WenQuanYi Zen Hei"/>
        <family val="2"/>
      </rPr>
      <t xml:space="preserve">일반 캐릭터와 동일 — 크리에이터 적립률만 상승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플랫폼이 마진에서 부담</t>
    </r>
    <r>
      <rPr>
        <sz val="10"/>
        <rFont val="맑은 고딕"/>
        <family val="0"/>
        <charset val="1"/>
      </rPr>
      <t xml:space="preserve">)</t>
    </r>
  </si>
  <si>
    <t xml:space="preserve">노출 혜택</t>
  </si>
  <si>
    <r>
      <rPr>
        <sz val="10"/>
        <rFont val="맑은 고딕"/>
        <family val="0"/>
        <charset val="1"/>
      </rPr>
      <t xml:space="preserve">'Original' </t>
    </r>
    <r>
      <rPr>
        <sz val="10"/>
        <rFont val="WenQuanYi Zen Hei"/>
        <family val="2"/>
      </rPr>
      <t xml:space="preserve">뱃지 썸네일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태그 자동 부여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태그 검색 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</si>
  <si>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[B Only] </t>
    </r>
    <r>
      <rPr>
        <sz val="10"/>
        <rFont val="WenQuanYi Zen Hei"/>
        <family val="2"/>
      </rPr>
      <t xml:space="preserve">마크 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), [B Only </t>
    </r>
    <r>
      <rPr>
        <sz val="10"/>
        <rFont val="WenQuanYi Zen Hei"/>
        <family val="2"/>
      </rPr>
      <t xml:space="preserve">전용관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편성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 집중 지원</t>
    </r>
  </si>
  <si>
    <t xml:space="preserve">플랫폼 주장 효과</t>
  </si>
  <si>
    <r>
      <rPr>
        <sz val="10"/>
        <rFont val="WenQuanYi Zen Hei"/>
        <family val="2"/>
      </rPr>
      <t xml:space="preserve">캐릭터당 평균 채팅 일반 </t>
    </r>
    <r>
      <rPr>
        <sz val="10"/>
        <rFont val="맑은 고딕"/>
        <family val="0"/>
        <charset val="1"/>
      </rPr>
      <t xml:space="preserve">161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1,061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6.6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플랫폼 자체 발표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선택편향 가능성 있음</t>
    </r>
  </si>
  <si>
    <t xml:space="preserve">소프트 독점 압박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</si>
  <si>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동일한 캐릭터를 타 플랫폼에 중복 게시하지 않는 것을 권장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문서 내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강제 조항은 아님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</si>
  <si>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건당 정액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베이비챗만 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정액제는 유저가 아무리 많이 결제해도 크리에이터 몫이 메시지 수에 고정됨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</si>
  <si>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 베리는 현금화 경로가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10~20%</t>
    </r>
    <r>
      <rPr>
        <sz val="10"/>
        <rFont val="WenQuanYi Zen Hei"/>
        <family val="2"/>
      </rPr>
      <t xml:space="preserve">도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을 거치면 실질 </t>
    </r>
    <r>
      <rPr>
        <sz val="10"/>
        <rFont val="맑은 고딕"/>
        <family val="0"/>
        <charset val="1"/>
      </rPr>
      <t xml:space="preserve">1~2.3%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</si>
  <si>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베이비챗의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 조합은 롱테일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신인 크리에이터의 적립분을 사실상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으로 만듦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</si>
  <si>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독점작 제도는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베이비챗에만 존재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둘 다 심사 없는 셀프 등록이고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기간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중 해제 불가</t>
    </r>
  </si>
  <si>
    <r>
      <rPr>
        <b val="true"/>
        <sz val="14"/>
        <rFont val="WenQuanYi Zen Hei"/>
        <family val="2"/>
      </rPr>
      <t xml:space="preserve">채팅 </t>
    </r>
    <r>
      <rPr>
        <b val="true"/>
        <sz val="14"/>
        <rFont val="맑은 고딕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건당 크리에이터 실수령액 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세전</t>
    </r>
    <r>
      <rPr>
        <b val="true"/>
        <sz val="14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</si>
  <si>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주의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이것은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정산율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이 아니라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건당 수령액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유저가 채팅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회에 지불하는 금액이 플랫폼마다 달라 매출 대비 </t>
    </r>
    <r>
      <rPr>
        <i val="true"/>
        <sz val="9"/>
        <color rgb="FF595959"/>
        <rFont val="맑은 고딕"/>
        <family val="0"/>
        <charset val="1"/>
      </rPr>
      <t xml:space="preserve">% </t>
    </r>
    <r>
      <rPr>
        <i val="true"/>
        <sz val="9"/>
        <color rgb="FF595959"/>
        <rFont val="WenQuanYi Zen Hei"/>
        <family val="2"/>
      </rPr>
      <t xml:space="preserve">비교가 아닙니다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</si>
  <si>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환산 기준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노란 칸을 고치면 아래 표가 전부 재계산됩니다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</si>
  <si>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케이브덕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</t>
    </r>
  </si>
  <si>
    <t xml:space="preserve">원</t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</si>
  <si>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케이브덕 인센티브 문서 — </t>
    </r>
    <r>
      <rPr>
        <i val="true"/>
        <sz val="9"/>
        <color rgb="FF595959"/>
        <rFont val="맑은 고딕"/>
        <family val="0"/>
        <charset val="1"/>
      </rPr>
      <t xml:space="preserve">200,000pt → 120,000</t>
    </r>
    <r>
      <rPr>
        <i val="true"/>
        <sz val="9"/>
        <color rgb="FF595959"/>
        <rFont val="WenQuanYi Zen Hei"/>
        <family val="2"/>
      </rPr>
      <t xml:space="preserve">원 </t>
    </r>
    <r>
      <rPr>
        <i val="true"/>
        <sz val="9"/>
        <color rgb="FF595959"/>
        <rFont val="맑은 고딕"/>
        <family val="0"/>
        <charset val="1"/>
      </rPr>
      <t xml:space="preserve">(3</t>
    </r>
    <r>
      <rPr>
        <i val="true"/>
        <sz val="9"/>
        <color rgb="FF595959"/>
        <rFont val="WenQuanYi Zen Hei"/>
        <family val="2"/>
      </rPr>
      <t xml:space="preserve">개 구간 모두 </t>
    </r>
    <r>
      <rPr>
        <i val="true"/>
        <sz val="9"/>
        <color rgb="FF595959"/>
        <rFont val="맑은 고딕"/>
        <family val="0"/>
        <charset val="1"/>
      </rPr>
      <t xml:space="preserve">0.6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/pt</t>
    </r>
    <r>
      <rPr>
        <i val="true"/>
        <sz val="9"/>
        <color rgb="FF595959"/>
        <rFont val="WenQuanYi Zen Hei"/>
        <family val="2"/>
      </rPr>
      <t xml:space="preserve">로 일정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</si>
  <si>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스토리엔진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</si>
  <si>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스토리엔진 비용 정산 문서 — </t>
    </r>
    <r>
      <rPr>
        <i val="true"/>
        <sz val="9"/>
        <color rgb="FF595959"/>
        <rFont val="맑은 고딕"/>
        <family val="0"/>
        <charset val="1"/>
      </rPr>
      <t xml:space="preserve">'1 </t>
    </r>
    <r>
      <rPr>
        <i val="true"/>
        <sz val="9"/>
        <color rgb="FF595959"/>
        <rFont val="WenQuanYi Zen Hei"/>
        <family val="2"/>
      </rPr>
      <t xml:space="preserve">크레딧 </t>
    </r>
    <r>
      <rPr>
        <i val="true"/>
        <sz val="9"/>
        <color rgb="FF595959"/>
        <rFont val="맑은 고딕"/>
        <family val="0"/>
        <charset val="1"/>
      </rPr>
      <t xml:space="preserve">= 7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</si>
  <si>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베이비챗  베리 현금 환산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</si>
  <si>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베리는 프로챗 전환</t>
    </r>
    <r>
      <rPr>
        <i val="true"/>
        <sz val="9"/>
        <color rgb="FF595959"/>
        <rFont val="맑은 고딕"/>
        <family val="0"/>
        <charset val="1"/>
      </rPr>
      <t xml:space="preserve">(10:1) </t>
    </r>
    <r>
      <rPr>
        <i val="true"/>
        <sz val="9"/>
        <color rgb="FF595959"/>
        <rFont val="WenQuanYi Zen Hei"/>
        <family val="2"/>
      </rPr>
      <t xml:space="preserve">또는 베리샵 교환만 가능 — 현금 출금 경로 없음</t>
    </r>
  </si>
  <si>
    <r>
      <rPr>
        <sz val="10"/>
        <rFont val="WenQuanYi Zen Hei"/>
        <family val="2"/>
      </rPr>
      <t xml:space="preserve">루나톡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</si>
  <si>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 정산 구조가 자료에 없음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미확인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확인된 조항은 후원 포인트 </t>
    </r>
    <r>
      <rPr>
        <i val="true"/>
        <sz val="9"/>
        <color rgb="FF595959"/>
        <rFont val="맑은 고딕"/>
        <family val="0"/>
        <charset val="1"/>
      </rPr>
      <t xml:space="preserve">90~97%</t>
    </r>
    <r>
      <rPr>
        <i val="true"/>
        <sz val="9"/>
        <color rgb="FF595959"/>
        <rFont val="WenQuanYi Zen Hei"/>
        <family val="2"/>
      </rPr>
      <t xml:space="preserve">뿐</t>
    </r>
  </si>
  <si>
    <t xml:space="preserve">플랫폼</t>
  </si>
  <si>
    <t xml:space="preserve">모델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</si>
  <si>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(pt/</t>
    </r>
    <r>
      <rPr>
        <b val="true"/>
        <sz val="10"/>
        <color rgb="FFFFFFFF"/>
        <rFont val="WenQuanYi Zen Hei"/>
        <family val="2"/>
      </rPr>
      <t xml:space="preserve">크레딧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</si>
  <si>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</si>
  <si>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</si>
  <si>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독점작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</si>
  <si>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전속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</si>
  <si>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 가산율</t>
  </si>
  <si>
    <t xml:space="preserve">Claude Opus 5 / 4.7 / 4.6</t>
  </si>
  <si>
    <t xml:space="preserve">GPT-5.4</t>
  </si>
  <si>
    <t xml:space="preserve">Claude Sonnet 4.6</t>
  </si>
  <si>
    <t xml:space="preserve">Gemini 3.1 Pro</t>
  </si>
  <si>
    <t xml:space="preserve">Gemini 2.5 Pro</t>
  </si>
  <si>
    <t xml:space="preserve">Gemini 3.5 Flash</t>
  </si>
  <si>
    <t xml:space="preserve">GLM 5</t>
  </si>
  <si>
    <t xml:space="preserve">Gemini 3 Flash</t>
  </si>
  <si>
    <t xml:space="preserve">Donald 2</t>
  </si>
  <si>
    <t xml:space="preserve">Gemini 3.6 Flash</t>
  </si>
  <si>
    <t xml:space="preserve">Momo</t>
  </si>
  <si>
    <r>
      <rPr>
        <sz val="10"/>
        <rFont val="맑은 고딕"/>
        <family val="0"/>
        <charset val="1"/>
      </rPr>
      <t xml:space="preserve">Gemini 3.7 Flash (</t>
    </r>
    <r>
      <rPr>
        <sz val="10"/>
        <rFont val="WenQuanYi Zen Hei"/>
        <family val="2"/>
      </rPr>
      <t xml:space="preserve">이벤트가</t>
    </r>
    <r>
      <rPr>
        <sz val="10"/>
        <rFont val="맑은 고딕"/>
        <family val="0"/>
        <charset val="1"/>
      </rPr>
      <t xml:space="preserve">)</t>
    </r>
  </si>
  <si>
    <t xml:space="preserve">DeepSeek V3.2</t>
  </si>
  <si>
    <t xml:space="preserve">DeepSeek V4 Pro</t>
  </si>
  <si>
    <t xml:space="preserve">DeepSeek V4 Flash</t>
  </si>
  <si>
    <t xml:space="preserve">Breeze</t>
  </si>
  <si>
    <t xml:space="preserve">claude-4.5-sonnet</t>
  </si>
  <si>
    <t xml:space="preserve">gemini-3.0-pro</t>
  </si>
  <si>
    <t xml:space="preserve">gemini-2.5-pro</t>
  </si>
  <si>
    <t xml:space="preserve">gemini-2.5-flash</t>
  </si>
  <si>
    <t xml:space="preserve">전 모델 — 현금 경로 없음</t>
  </si>
  <si>
    <t xml:space="preserve">전 모델 — 정산 구조 미확인</t>
  </si>
  <si>
    <t xml:space="preserve">읽는 법</t>
  </si>
  <si>
    <r>
      <rPr>
        <sz val="10"/>
        <rFont val="맑은 고딕"/>
        <family val="0"/>
        <charset val="1"/>
      </rPr>
      <t xml:space="preserve">· Sonnet</t>
    </r>
    <r>
      <rPr>
        <sz val="10"/>
        <rFont val="WenQuanYi Zen Hei"/>
        <family val="2"/>
      </rPr>
      <t xml:space="preserve">급 비교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최상위 </t>
    </r>
    <r>
      <rPr>
        <sz val="10"/>
        <rFont val="맑은 고딕"/>
        <family val="0"/>
        <charset val="1"/>
      </rPr>
      <t xml:space="preserve">Opus(12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못 미침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</si>
  <si>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전속 가산은 정액 </t>
    </r>
    <r>
      <rPr>
        <sz val="10"/>
        <rFont val="맑은 고딕"/>
        <family val="0"/>
        <charset val="1"/>
      </rPr>
      <t xml:space="preserve">+2pt</t>
    </r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유저가 많이 쓰는 고급 모델일수록 가산율이 낮음 </t>
    </r>
    <r>
      <rPr>
        <sz val="10"/>
        <rFont val="맑은 고딕"/>
        <family val="0"/>
        <charset val="1"/>
      </rPr>
      <t xml:space="preserve">(Opus +10% = 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</si>
  <si>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Donald 2 / Momo / Breeze / DeepSeek V4 Flash </t>
    </r>
    <r>
      <rPr>
        <sz val="10"/>
        <rFont val="WenQuanYi Zen Hei"/>
        <family val="2"/>
      </rPr>
      <t xml:space="preserve">는 전속이어도 가산 </t>
    </r>
    <r>
      <rPr>
        <sz val="10"/>
        <rFont val="맑은 고딕"/>
        <family val="0"/>
        <charset val="1"/>
      </rPr>
      <t xml:space="preserve">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</si>
  <si>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Gemini 3.6 Flash: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 </t>
    </r>
    <r>
      <rPr>
        <sz val="10"/>
        <rFont val="WenQuanYi Zen Hei"/>
        <family val="2"/>
      </rPr>
      <t xml:space="preserve">로 충돌 → 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</si>
  <si>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r>
      <rPr>
        <b val="true"/>
        <sz val="10"/>
        <rFont val="WenQuanYi Zen Hei"/>
        <family val="2"/>
      </rPr>
      <t xml:space="preserve">케이브덕 부가 수익원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같은 플랫폼 안에서 회수율이 </t>
    </r>
    <r>
      <rPr>
        <b val="true"/>
        <sz val="10"/>
        <rFont val="맑은 고딕"/>
        <family val="0"/>
        <charset val="1"/>
      </rPr>
      <t xml:space="preserve">7.5</t>
    </r>
    <r>
      <rPr>
        <b val="true"/>
        <sz val="10"/>
        <rFont val="WenQuanYi Zen Hei"/>
        <family val="2"/>
      </rPr>
      <t xml:space="preserve">배까지 차이남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</si>
  <si>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이미지 잠금 해제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500 </t>
    </r>
    <r>
      <rPr>
        <sz val="10"/>
        <rFont val="WenQuanYi Zen Hei"/>
        <family val="2"/>
      </rPr>
      <t xml:space="preserve">깃털 → 크리에이터 </t>
    </r>
    <r>
      <rPr>
        <sz val="10"/>
        <rFont val="맑은 고딕"/>
        <family val="0"/>
        <charset val="1"/>
      </rPr>
      <t xml:space="preserve">250pt (150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0.500pt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</si>
  <si>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 유료 회차 열람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300 </t>
    </r>
    <r>
      <rPr>
        <sz val="10"/>
        <rFont val="WenQuanYi Zen Hei"/>
        <family val="2"/>
      </rPr>
      <t xml:space="preserve">깃털 → </t>
    </r>
    <r>
      <rPr>
        <sz val="10"/>
        <rFont val="맑은 고딕"/>
        <family val="0"/>
        <charset val="1"/>
      </rPr>
      <t xml:space="preserve">100pt (60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0.333pt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</si>
  <si>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슈퍼보이스 재생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80 </t>
    </r>
    <r>
      <rPr>
        <sz val="10"/>
        <rFont val="WenQuanYi Zen Hei"/>
        <family val="2"/>
      </rPr>
      <t xml:space="preserve">깃털 → </t>
    </r>
    <r>
      <rPr>
        <sz val="10"/>
        <rFont val="맑은 고딕"/>
        <family val="0"/>
        <charset val="1"/>
      </rPr>
      <t xml:space="preserve">8pt (4.8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0.100pt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</si>
  <si>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스냅샷 사용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150 </t>
    </r>
    <r>
      <rPr>
        <sz val="10"/>
        <rFont val="WenQuanYi Zen Hei"/>
        <family val="2"/>
      </rPr>
      <t xml:space="preserve">깃털 → </t>
    </r>
    <r>
      <rPr>
        <sz val="10"/>
        <rFont val="맑은 고딕"/>
        <family val="0"/>
        <charset val="1"/>
      </rPr>
      <t xml:space="preserve">10pt (6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0.067pt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</si>
  <si>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친구 추천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1,000pt 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피추천인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깃털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가입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시간 후 지급</t>
    </r>
  </si>
  <si>
    <r>
      <rPr>
        <b val="true"/>
        <sz val="14"/>
        <rFont val="WenQuanYi Zen Hei"/>
        <family val="2"/>
      </rPr>
      <t xml:space="preserve">등급제 상세 — 베이비챗 크리에이터 클럽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루나톡 공식 크리에이터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</si>
  <si>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베이비챗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크리에이터 클럽 — 비전속 등급제</t>
    </r>
  </si>
  <si>
    <r>
      <rPr>
        <i val="true"/>
        <sz val="9"/>
        <color rgb="FF595959"/>
        <rFont val="맑은 고딕"/>
        <family val="0"/>
        <charset val="1"/>
      </rPr>
      <t xml:space="preserve">2025-10-03 </t>
    </r>
    <r>
      <rPr>
        <i val="true"/>
        <sz val="9"/>
        <color rgb="FF595959"/>
        <rFont val="WenQuanYi Zen Hei"/>
        <family val="2"/>
      </rPr>
      <t xml:space="preserve">시작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이전 활동 데이터 소급 반영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단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베이비부터 순서대로 </t>
    </r>
    <r>
      <rPr>
        <i val="true"/>
        <sz val="9"/>
        <color rgb="FF595959"/>
        <rFont val="맑은 고딕"/>
        <family val="0"/>
        <charset val="1"/>
      </rPr>
      <t xml:space="preserve">[</t>
    </r>
    <r>
      <rPr>
        <i val="true"/>
        <sz val="9"/>
        <color rgb="FF595959"/>
        <rFont val="WenQuanYi Zen Hei"/>
        <family val="2"/>
      </rPr>
      <t xml:space="preserve">획득하기</t>
    </r>
    <r>
      <rPr>
        <i val="true"/>
        <sz val="9"/>
        <color rgb="FF595959"/>
        <rFont val="맑은 고딕"/>
        <family val="0"/>
        <charset val="1"/>
      </rPr>
      <t xml:space="preserve">] </t>
    </r>
    <r>
      <rPr>
        <i val="true"/>
        <sz val="9"/>
        <color rgb="FF595959"/>
        <rFont val="WenQuanYi Zen Hei"/>
        <family val="2"/>
      </rPr>
      <t xml:space="preserve">버튼을 직접 눌러야 혜택 적용</t>
    </r>
  </si>
  <si>
    <t xml:space="preserve">베리 → 프로챗 전환 비율</t>
  </si>
  <si>
    <r>
      <rPr>
        <i val="true"/>
        <sz val="9"/>
        <color rgb="FF595959"/>
        <rFont val="맑은 고딕"/>
        <family val="0"/>
        <charset val="1"/>
      </rPr>
      <t xml:space="preserve">: 1  (10 </t>
    </r>
    <r>
      <rPr>
        <i val="true"/>
        <sz val="9"/>
        <color rgb="FF595959"/>
        <rFont val="WenQuanYi Zen Hei"/>
        <family val="2"/>
      </rPr>
      <t xml:space="preserve">베리 </t>
    </r>
    <r>
      <rPr>
        <i val="true"/>
        <sz val="9"/>
        <color rgb="FF595959"/>
        <rFont val="맑은 고딕"/>
        <family val="0"/>
        <charset val="1"/>
      </rPr>
      <t xml:space="preserve">= 1 </t>
    </r>
    <r>
      <rPr>
        <i val="true"/>
        <sz val="9"/>
        <color rgb="FF595959"/>
        <rFont val="WenQuanYi Zen Hei"/>
        <family val="2"/>
      </rPr>
      <t xml:space="preserve">프로챗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</si>
  <si>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베이비</t>
  </si>
  <si>
    <t xml:space="preserve">루키</t>
  </si>
  <si>
    <t xml:space="preserve">슈퍼</t>
  </si>
  <si>
    <t xml:space="preserve">메가</t>
  </si>
  <si>
    <t xml:space="preserve">하이퍼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</si>
  <si>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전체공개 캐릭터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</si>
  <si>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채팅수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</si>
  <si>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 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</si>
  <si>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응원하기 비율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</si>
  <si>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일반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</si>
  <si>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</t>
    </r>
    <r>
      <rPr>
        <sz val="10"/>
        <rFont val="맑은 고딕"/>
        <family val="0"/>
        <charset val="1"/>
      </rPr>
      <t xml:space="preserve">B Only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</si>
  <si>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일반 — 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</si>
  <si>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— </t>
    </r>
    <r>
      <rPr>
        <sz val="10"/>
        <rFont val="WenQuanYi Zen Hei"/>
        <family val="2"/>
      </rPr>
      <t xml:space="preserve">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</si>
  <si>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+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(+3%p)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</si>
  <si>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선물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타이틀 달성 프로챗 </t>
    </r>
    <r>
      <rPr>
        <sz val="10"/>
        <rFont val="맑은 고딕"/>
        <family val="0"/>
        <charset val="1"/>
      </rPr>
      <t xml:space="preserve">(2026 </t>
    </r>
    <r>
      <rPr>
        <sz val="10"/>
        <rFont val="WenQuanYi Zen Hei"/>
        <family val="2"/>
      </rPr>
      <t xml:space="preserve">한정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</si>
  <si>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핵심</t>
    </r>
    <r>
      <rPr>
        <b val="true"/>
        <sz val="10"/>
        <rFont val="맑은 고딕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표기 적립률과 실질 구매력이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배 다릅니다</t>
    </r>
    <r>
      <rPr>
        <b val="true"/>
        <sz val="10"/>
        <rFont val="맑은 고딕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적립률은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베리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단위인데 베리→프로챗 전환이 </t>
    </r>
    <r>
      <rPr>
        <b val="true"/>
        <sz val="10"/>
        <rFont val="맑은 고딕"/>
        <family val="0"/>
        <charset val="1"/>
      </rPr>
      <t xml:space="preserve">10:1 — </t>
    </r>
    <r>
      <rPr>
        <b val="true"/>
        <sz val="10"/>
        <rFont val="WenQuanYi Zen Hei"/>
        <family val="2"/>
      </rPr>
      <t xml:space="preserve">제도상 최대치가 </t>
    </r>
    <r>
      <rPr>
        <b val="true"/>
        <sz val="10"/>
        <rFont val="맑은 고딕"/>
        <family val="0"/>
        <charset val="1"/>
      </rPr>
      <t xml:space="preserve">2.3%</t>
    </r>
    <r>
      <rPr>
        <b val="true"/>
        <sz val="10"/>
        <rFont val="WenQuanYi Zen Hei"/>
        <family val="2"/>
      </rPr>
      <t xml:space="preserve">입니다</t>
    </r>
    <r>
      <rPr>
        <b val="true"/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</si>
  <si>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루나톡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크리에이터 지원 제도 — 전속 등급제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단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</si>
  <si>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기수제 공개 모집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기</t>
    </r>
    <r>
      <rPr>
        <i val="true"/>
        <sz val="9"/>
        <color rgb="FF595959"/>
        <rFont val="맑은 고딕"/>
        <family val="0"/>
        <charset val="1"/>
      </rPr>
      <t xml:space="preserve">) · </t>
    </r>
    <r>
      <rPr>
        <i val="true"/>
        <sz val="9"/>
        <color rgb="FF595959"/>
        <rFont val="WenQuanYi Zen Hei"/>
        <family val="2"/>
      </rPr>
      <t xml:space="preserve">전 등급 공통 신청 조건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루나톡에서 활동중이거나 활동 예정인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타 플랫폼 활동작가</t>
    </r>
    <r>
      <rPr>
        <i val="true"/>
        <sz val="9"/>
        <color rgb="FF595959"/>
        <rFont val="맑은 고딕"/>
        <family val="0"/>
        <charset val="1"/>
      </rPr>
      <t xml:space="preserve">' + </t>
    </r>
    <r>
      <rPr>
        <i val="true"/>
        <sz val="9"/>
        <color rgb="FF595959"/>
        <rFont val="WenQuanYi Zen Hei"/>
        <family val="2"/>
      </rPr>
      <t xml:space="preserve">루나톡 제작 작품 총 채팅수 </t>
    </r>
    <r>
      <rPr>
        <i val="true"/>
        <sz val="9"/>
        <color rgb="FF595959"/>
        <rFont val="맑은 고딕"/>
        <family val="0"/>
        <charset val="1"/>
      </rPr>
      <t xml:space="preserve">7K </t>
    </r>
    <r>
      <rPr>
        <i val="true"/>
        <sz val="9"/>
        <color rgb="FF595959"/>
        <rFont val="WenQuanYi Zen Hei"/>
        <family val="2"/>
      </rPr>
      <t xml:space="preserve">이상</t>
    </r>
  </si>
  <si>
    <r>
      <rPr>
        <b val="true"/>
        <sz val="10"/>
        <color rgb="FFFFFFFF"/>
        <rFont val="WenQuanYi Zen Hei"/>
        <family val="2"/>
      </rPr>
      <t xml:space="preserve">메테오 </t>
    </r>
    <r>
      <rPr>
        <b val="true"/>
        <sz val="10"/>
        <color rgb="FFFFFFFF"/>
        <rFont val="맑은 고딕"/>
        <family val="0"/>
        <charset val="1"/>
      </rPr>
      <t xml:space="preserve">(Meteo)</t>
    </r>
  </si>
  <si>
    <r>
      <rPr>
        <b val="true"/>
        <sz val="10"/>
        <color rgb="FFFFFFFF"/>
        <rFont val="WenQuanYi Zen Hei"/>
        <family val="2"/>
      </rPr>
      <t xml:space="preserve">슈퍼노바 </t>
    </r>
    <r>
      <rPr>
        <b val="true"/>
        <sz val="10"/>
        <color rgb="FFFFFFFF"/>
        <rFont val="맑은 고딕"/>
        <family val="0"/>
        <charset val="1"/>
      </rPr>
      <t xml:space="preserve">(Super Nova)</t>
    </r>
  </si>
  <si>
    <r>
      <rPr>
        <b val="true"/>
        <sz val="10"/>
        <color rgb="FFFFFFFF"/>
        <rFont val="WenQuanYi Zen Hei"/>
        <family val="2"/>
      </rPr>
      <t xml:space="preserve">어스 </t>
    </r>
    <r>
      <rPr>
        <b val="true"/>
        <sz val="10"/>
        <color rgb="FFFFFFFF"/>
        <rFont val="맑은 고딕"/>
        <family val="0"/>
        <charset val="1"/>
      </rPr>
      <t xml:space="preserve">(Earth)</t>
    </r>
  </si>
  <si>
    <r>
      <rPr>
        <b val="true"/>
        <sz val="10"/>
        <color rgb="FFFFFFFF"/>
        <rFont val="WenQuanYi Zen Hei"/>
        <family val="2"/>
      </rPr>
      <t xml:space="preserve">크레이터 </t>
    </r>
    <r>
      <rPr>
        <b val="true"/>
        <sz val="10"/>
        <color rgb="FFFFFFFF"/>
        <rFont val="맑은 고딕"/>
        <family val="0"/>
        <charset val="1"/>
      </rPr>
      <t xml:space="preserve">(Crater)</t>
    </r>
  </si>
  <si>
    <r>
      <rPr>
        <b val="true"/>
        <sz val="10"/>
        <color rgb="FFFFFFFF"/>
        <rFont val="WenQuanYi Zen Hei"/>
        <family val="2"/>
      </rPr>
      <t xml:space="preserve">풀문 </t>
    </r>
    <r>
      <rPr>
        <b val="true"/>
        <sz val="10"/>
        <color rgb="FFFFFFFF"/>
        <rFont val="맑은 고딕"/>
        <family val="0"/>
        <charset val="1"/>
      </rPr>
      <t xml:space="preserve">(Full Moon)</t>
    </r>
  </si>
  <si>
    <t xml:space="preserve">모집 인원</t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</si>
  <si>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</si>
  <si>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</si>
  <si>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(6/4)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</si>
  <si>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(3/2)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</si>
  <si>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대화수 총합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</si>
  <si>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공개 캐릭터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</si>
  <si>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</si>
  <si>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 플랫폼 대화수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</si>
  <si>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</si>
  <si>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후원 포인트 크리에이터 몫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</si>
  <si>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초회 한정 달성 보상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</si>
  <si>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</si>
  <si>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100,000P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</si>
  <si>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200,000P</t>
    </r>
  </si>
  <si>
    <t xml:space="preserve">미표기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</si>
  <si>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엠블럼</t>
    </r>
  </si>
  <si>
    <t xml:space="preserve">O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</si>
  <si>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추천작 기재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배너 홍보</t>
    </r>
  </si>
  <si>
    <t xml:space="preserve">지원</t>
  </si>
  <si>
    <t xml:space="preserve">우선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</si>
  <si>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NovelAI OPUS / PIX</t>
    </r>
  </si>
  <si>
    <t xml:space="preserve">스탠다드</t>
  </si>
  <si>
    <t xml:space="preserve">프리미엄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</si>
  <si>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ITIMG </t>
    </r>
    <r>
      <rPr>
        <b val="true"/>
        <sz val="10"/>
        <rFont val="WenQuanYi Zen Hei"/>
        <family val="2"/>
      </rPr>
      <t xml:space="preserve">스토리지</t>
    </r>
  </si>
  <si>
    <t xml:space="preserve">10GB</t>
  </si>
  <si>
    <t xml:space="preserve">30GB</t>
  </si>
  <si>
    <t xml:space="preserve">100GB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</si>
  <si>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스테이블 디퓨전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</si>
  <si>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오리지널 </t>
    </r>
    <r>
      <rPr>
        <b val="true"/>
        <sz val="10"/>
        <rFont val="맑은 고딕"/>
        <family val="0"/>
        <charset val="1"/>
      </rPr>
      <t xml:space="preserve">BGM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</si>
  <si>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</si>
  <si>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</si>
  <si>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</si>
  <si>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</si>
  <si>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프롬프트 기술 지원</t>
    </r>
  </si>
  <si>
    <t xml:space="preserve">한정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</si>
  <si>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전담 프롬프트 매니저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</si>
  <si>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행사 초대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우대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</si>
  <si>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굿즈 제작</t>
    </r>
  </si>
  <si>
    <t xml:space="preserve">확정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</si>
  <si>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신규 기능 얼리액세스</t>
    </r>
  </si>
  <si>
    <t xml:space="preserve">추첨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</si>
  <si>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여행 지원 </t>
    </r>
    <r>
      <rPr>
        <b val="true"/>
        <sz val="10"/>
        <rFont val="맑은 고딕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박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일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</si>
  <si>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체험</t>
    </r>
  </si>
  <si>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</si>
  <si>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b val="true"/>
        <sz val="10"/>
        <rFont val="맑은 고딕"/>
        <family val="0"/>
        <charset val="1"/>
      </rPr>
      <t xml:space="preserve">[1</t>
    </r>
    <r>
      <rPr>
        <b val="true"/>
        <sz val="10"/>
        <rFont val="WenQuanYi Zen Hei"/>
        <family val="2"/>
      </rPr>
      <t xml:space="preserve">기 특별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키보드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</si>
  <si>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</t>
    </r>
  </si>
  <si>
    <r>
      <rPr>
        <b val="true"/>
        <sz val="10"/>
        <rFont val="WenQuanYi Zen Hei"/>
        <family val="2"/>
      </rPr>
      <t xml:space="preserve">이주 크리에이터 트랙 — 타 플랫폼 실적을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할인 인정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하는 배수</t>
    </r>
  </si>
  <si>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메테오는 이주 트랙 없음</t>
    </r>
  </si>
  <si>
    <r>
      <rPr>
        <b val="true"/>
        <sz val="10"/>
        <rFont val="WenQuanYi Zen Hei"/>
        <family val="2"/>
      </rPr>
      <t xml:space="preserve">미확인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주의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</si>
  <si>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채팅 자체의 정산 구조가 자료에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확인된 정산 조항은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후원 포인트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하나뿐 — 이 표만으로 루나톡 정산 수준을 판단하면 안 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</si>
  <si>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포인트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가치 미확인 </t>
    </r>
    <r>
      <rPr>
        <sz val="10"/>
        <rFont val="맑은 고딕"/>
        <family val="0"/>
        <charset val="1"/>
      </rPr>
      <t xml:space="preserve">· '10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6/4', '5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3/2' </t>
    </r>
    <r>
      <rPr>
        <sz val="10"/>
        <rFont val="WenQuanYi Zen Hei"/>
        <family val="2"/>
      </rPr>
      <t xml:space="preserve">표기의 의미 불명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</si>
  <si>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안내 이미지의 장식 서체 특성상 일부 글자가 변형 렌더링됨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</si>
  <si>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r>
      <rPr>
        <b val="true"/>
        <sz val="14"/>
        <rFont val="WenQuanYi Zen Hei"/>
        <family val="2"/>
      </rPr>
      <t xml:space="preserve">출처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원문 충돌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미확인 항목</t>
    </r>
  </si>
  <si>
    <r>
      <rPr>
        <b val="true"/>
        <sz val="10"/>
        <rFont val="맑은 고딕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출처</t>
    </r>
  </si>
  <si>
    <t xml:space="preserve">문서</t>
  </si>
  <si>
    <t xml:space="preserve">위치</t>
  </si>
  <si>
    <t xml:space="preserve">확인일</t>
  </si>
  <si>
    <r>
      <rPr>
        <sz val="10"/>
        <rFont val="WenQuanYi Zen Hei"/>
        <family val="2"/>
      </rPr>
      <t xml:space="preserve">🦆 오리지널 캐릭터란</t>
    </r>
    <r>
      <rPr>
        <sz val="10"/>
        <rFont val="맑은 고딕"/>
        <family val="0"/>
        <charset val="1"/>
      </rPr>
      <t xml:space="preserve">? / 💵 </t>
    </r>
    <r>
      <rPr>
        <sz val="10"/>
        <rFont val="WenQuanYi Zen Hei"/>
        <family val="2"/>
      </rPr>
      <t xml:space="preserve">케이브덕 인센티브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안내</t>
    </r>
  </si>
  <si>
    <r>
      <rPr>
        <sz val="10"/>
        <rFont val="맑은 고딕"/>
        <family val="0"/>
        <charset val="1"/>
      </rPr>
      <t xml:space="preserve">docs.caveduck.io/ko (</t>
    </r>
    <r>
      <rPr>
        <sz val="10"/>
        <rFont val="WenQuanYi Zen Hei"/>
        <family val="2"/>
      </rPr>
      <t xml:space="preserve">공식 크리에이터 안내는 별도 공지</t>
    </r>
    <r>
      <rPr>
        <sz val="10"/>
        <rFont val="맑은 고딕"/>
        <family val="0"/>
        <charset val="1"/>
      </rPr>
      <t xml:space="preserve">)</t>
    </r>
  </si>
  <si>
    <t xml:space="preserve">2026-08-19</t>
  </si>
  <si>
    <r>
      <rPr>
        <sz val="10"/>
        <rFont val="맑은 고딕"/>
        <family val="0"/>
        <charset val="1"/>
      </rPr>
      <t xml:space="preserve">B Only / </t>
    </r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🍓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(Berry) </t>
    </r>
    <r>
      <rPr>
        <sz val="10"/>
        <rFont val="WenQuanYi Zen Hei"/>
        <family val="2"/>
      </rPr>
      <t xml:space="preserve">제도</t>
    </r>
  </si>
  <si>
    <t xml:space="preserve">docs.channel.io/babechat/ko</t>
  </si>
  <si>
    <r>
      <rPr>
        <sz val="10"/>
        <rFont val="WenQuanYi Zen Hei"/>
        <family val="2"/>
      </rPr>
      <t xml:space="preserve">비용 정산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프로그램 소개</t>
    </r>
  </si>
  <si>
    <t xml:space="preserve">storyengine.gitbook.io/storyengine</t>
  </si>
  <si>
    <r>
      <rPr>
        <sz val="10"/>
        <rFont val="WenQuanYi Zen Hei"/>
        <family val="2"/>
      </rPr>
      <t xml:space="preserve">공식 크리에이터 지원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등급별 이미지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종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요약표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</si>
  <si>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t xml:space="preserve">사용자 제공 이미지</t>
  </si>
  <si>
    <r>
      <rPr>
        <b val="true"/>
        <sz val="10"/>
        <rFont val="맑은 고딕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원문 자체가 모순이거나 해석이 필요한 곳</t>
    </r>
  </si>
  <si>
    <t xml:space="preserve">상태</t>
  </si>
  <si>
    <t xml:space="preserve">내용</t>
  </si>
  <si>
    <t xml:space="preserve">처리</t>
  </si>
  <si>
    <t xml:space="preserve">미해소</t>
  </si>
  <si>
    <r>
      <rPr>
        <sz val="10"/>
        <rFont val="WenQuanYi Zen Hei"/>
        <family val="2"/>
      </rPr>
      <t xml:space="preserve">하이퍼 등급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 비율 — 클럽 문서 표는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본문 서술은 </t>
    </r>
    <r>
      <rPr>
        <sz val="10"/>
        <rFont val="맑은 고딕"/>
        <family val="0"/>
        <charset val="1"/>
      </rPr>
      <t xml:space="preserve">85%</t>
    </r>
  </si>
  <si>
    <r>
      <rPr>
        <sz val="10"/>
        <rFont val="WenQuanYi Zen Hei"/>
        <family val="2"/>
      </rPr>
      <t xml:space="preserve">표 값</t>
    </r>
    <r>
      <rPr>
        <sz val="10"/>
        <rFont val="맑은 고딕"/>
        <family val="0"/>
        <charset val="1"/>
      </rPr>
      <t xml:space="preserve">(90%)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문서로 확인 필요</t>
    </r>
  </si>
  <si>
    <r>
      <rPr>
        <sz val="10"/>
        <rFont val="WenQuanYi Zen Hei"/>
        <family val="2"/>
      </rPr>
      <t xml:space="preserve">공식 크리에이터 최대 출금 한도 — 인센티브 문서 </t>
    </r>
    <r>
      <rPr>
        <sz val="10"/>
        <rFont val="맑은 고딕"/>
        <family val="0"/>
        <charset val="1"/>
      </rPr>
      <t xml:space="preserve">'1,000,000 → 1,500,000' vs </t>
    </r>
    <r>
      <rPr>
        <sz val="10"/>
        <rFont val="WenQuanYi Zen Hei"/>
        <family val="2"/>
      </rPr>
      <t xml:space="preserve">공식 크리에이터 안내 </t>
    </r>
    <r>
      <rPr>
        <sz val="10"/>
        <rFont val="맑은 고딕"/>
        <family val="0"/>
        <charset val="1"/>
      </rPr>
      <t xml:space="preserve">'60,000 → 100,000'</t>
    </r>
  </si>
  <si>
    <r>
      <rPr>
        <sz val="10"/>
        <rFont val="WenQuanYi Zen Hei"/>
        <family val="2"/>
      </rPr>
      <t xml:space="preserve">수치 체계가 완전히 다름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안내문이 구버전일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어느 쪽도 채택하지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상향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으로만 표기</t>
    </r>
  </si>
  <si>
    <t xml:space="preserve">해석필요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</si>
  <si>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유형 별 수수료율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- 28%'</t>
    </r>
  </si>
  <si>
    <r>
      <rPr>
        <sz val="10"/>
        <rFont val="맑은 고딕"/>
        <family val="0"/>
        <charset val="1"/>
      </rPr>
      <t xml:space="preserve">28%</t>
    </r>
    <r>
      <rPr>
        <sz val="10"/>
        <rFont val="WenQuanYi Zen Hei"/>
        <family val="2"/>
      </rPr>
      <t xml:space="preserve">가 플랫폼 수수료인지 크리에이터 몫인지 원문상 불명확</t>
    </r>
  </si>
  <si>
    <t xml:space="preserve">해소</t>
  </si>
  <si>
    <r>
      <rPr>
        <sz val="10"/>
        <rFont val="WenQuanYi Zen Hei"/>
        <family val="2"/>
      </rPr>
      <t xml:space="preserve">슈퍼 등급 베리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적립률 — 표 </t>
    </r>
    <r>
      <rPr>
        <sz val="10"/>
        <rFont val="맑은 고딕"/>
        <family val="0"/>
        <charset val="1"/>
      </rPr>
      <t xml:space="preserve">11% vs </t>
    </r>
    <r>
      <rPr>
        <sz val="10"/>
        <rFont val="WenQuanYi Zen Hei"/>
        <family val="2"/>
      </rPr>
      <t xml:space="preserve">본문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</si>
  <si>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클럽 표와 베리 문서 표가 모두 </t>
    </r>
    <r>
      <rPr>
        <sz val="10"/>
        <rFont val="맑은 고딕"/>
        <family val="0"/>
        <charset val="1"/>
      </rPr>
      <t xml:space="preserve">11%</t>
    </r>
    <r>
      <rPr>
        <sz val="10"/>
        <rFont val="WenQuanYi Zen Hei"/>
        <family val="2"/>
      </rPr>
      <t xml:space="preserve">로 일치 → </t>
    </r>
    <r>
      <rPr>
        <sz val="10"/>
        <rFont val="맑은 고딕"/>
        <family val="0"/>
        <charset val="1"/>
      </rPr>
      <t xml:space="preserve">11%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본문이 오기</t>
    </r>
  </si>
  <si>
    <r>
      <rPr>
        <sz val="10"/>
        <rFont val="맑은 고딕"/>
        <family val="0"/>
        <charset val="1"/>
      </rPr>
      <t xml:space="preserve">Gemini 3.6 Flash —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</t>
    </r>
  </si>
  <si>
    <r>
      <rPr>
        <sz val="10"/>
        <rFont val="WenQuanYi Zen Hei"/>
        <family val="2"/>
      </rPr>
      <t xml:space="preserve">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</si>
  <si>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t xml:space="preserve">참고</t>
  </si>
  <si>
    <r>
      <rPr>
        <sz val="10"/>
        <rFont val="WenQuanYi Zen Hei"/>
        <family val="2"/>
      </rPr>
      <t xml:space="preserve">안내문은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인센티브 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 하나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인센티브 문서에는 공식 열</t>
    </r>
    <r>
      <rPr>
        <sz val="10"/>
        <rFont val="맑은 고딕"/>
        <family val="0"/>
        <charset val="1"/>
      </rPr>
      <t xml:space="preserve">(+2pt)</t>
    </r>
    <r>
      <rPr>
        <sz val="10"/>
        <rFont val="WenQuanYi Zen Hei"/>
        <family val="2"/>
      </rPr>
      <t xml:space="preserve">이 공개돼 있음</t>
    </r>
  </si>
  <si>
    <r>
      <rPr>
        <sz val="10"/>
        <rFont val="WenQuanYi Zen Hei"/>
        <family val="2"/>
      </rPr>
      <t xml:space="preserve">공개된 표 값</t>
    </r>
    <r>
      <rPr>
        <sz val="10"/>
        <rFont val="맑은 고딕"/>
        <family val="0"/>
        <charset val="1"/>
      </rPr>
      <t xml:space="preserve">(+2pt) </t>
    </r>
    <r>
      <rPr>
        <sz val="10"/>
        <rFont val="WenQuanYi Zen Hei"/>
        <family val="2"/>
      </rPr>
      <t xml:space="preserve">채택</t>
    </r>
  </si>
  <si>
    <r>
      <rPr>
        <sz val="10"/>
        <rFont val="맑은 고딕"/>
        <family val="0"/>
        <charset val="1"/>
      </rPr>
      <t xml:space="preserve">Claude Sonnet 4.5 Think, Opus 4.8, Sonnet 4.5 — </t>
    </r>
    <r>
      <rPr>
        <sz val="10"/>
        <rFont val="WenQuanYi Zen Hei"/>
        <family val="2"/>
      </rPr>
      <t xml:space="preserve">오리지널 문서에만 존재</t>
    </r>
  </si>
  <si>
    <r>
      <rPr>
        <sz val="10"/>
        <rFont val="WenQuanYi Zen Hei"/>
        <family val="2"/>
      </rPr>
      <t xml:space="preserve">인센티브 문서에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단종 추정</t>
    </r>
  </si>
  <si>
    <t xml:space="preserve">안내 이미지의 장식 서체로 일부 글자가 변형 렌더링됨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</si>
  <si>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</si>
  <si>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r>
      <rPr>
        <b val="true"/>
        <sz val="10"/>
        <rFont val="맑은 고딕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미확인 — 추가 자료가 필요한 항목</t>
    </r>
  </si>
  <si>
    <t xml:space="preserve">우선</t>
  </si>
  <si>
    <t xml:space="preserve">필요 자료</t>
  </si>
  <si>
    <t xml:space="preserve">이게 있으면 채워지는 것</t>
  </si>
  <si>
    <t xml:space="preserve">1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</si>
  <si>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</si>
  <si>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sz val="10"/>
        <rFont val="맑은 고딕"/>
        <family val="0"/>
        <charset val="1"/>
      </rPr>
      <t xml:space="preserve">70~90%</t>
    </r>
    <r>
      <rPr>
        <sz val="10"/>
        <rFont val="WenQuanYi Zen Hei"/>
        <family val="2"/>
      </rPr>
      <t xml:space="preserve">의 모수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총결제액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인앱수수료 공제 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현금 출금 가능 여부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주기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 크리에이터의 현금 경로 존재 여부가 여기서 확정</t>
    </r>
  </si>
  <si>
    <t xml:space="preserve">채팅 정산 구조 문서</t>
  </si>
  <si>
    <r>
      <rPr>
        <sz val="10"/>
        <rFont val="WenQuanYi Zen Hei"/>
        <family val="2"/>
      </rPr>
      <t xml:space="preserve">현재 후원 포인트 조항만 확인됨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채팅당 정산을 모르면 타사와 비교 불가</t>
    </r>
  </si>
  <si>
    <t xml:space="preserve">2</t>
  </si>
  <si>
    <r>
      <rPr>
        <sz val="10"/>
        <rFont val="WenQuanYi Zen Hei"/>
        <family val="2"/>
      </rPr>
      <t xml:space="preserve">깃털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윙 충전 가격표</t>
    </r>
  </si>
  <si>
    <r>
      <rPr>
        <sz val="10"/>
        <rFont val="WenQuanYi Zen Hei"/>
        <family val="2"/>
      </rPr>
      <t xml:space="preserve">건당 수령액 → 실질 정산율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환산</t>
    </r>
  </si>
  <si>
    <t xml:space="preserve">프로챗 충전 가격표</t>
  </si>
  <si>
    <t xml:space="preserve">베리 실질 회수율의 원화 환산</t>
  </si>
  <si>
    <t xml:space="preserve">크레딧 충전 가격표</t>
  </si>
  <si>
    <r>
      <rPr>
        <sz val="10"/>
        <rFont val="WenQuanYi Zen Hei"/>
        <family val="2"/>
      </rPr>
      <t xml:space="preserve">루나톡 포인트 현금 환산율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출금 조건</t>
    </r>
  </si>
  <si>
    <r>
      <rPr>
        <sz val="10"/>
        <rFont val="WenQuanYi Zen Hei"/>
        <family val="2"/>
      </rPr>
      <t xml:space="preserve">달성 보상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포인트의 실질 가치</t>
    </r>
  </si>
  <si>
    <t xml:space="preserve">3</t>
  </si>
  <si>
    <t xml:space="preserve">베리샵 실제 상품 가격 예시</t>
  </si>
  <si>
    <r>
      <rPr>
        <sz val="10"/>
        <rFont val="맑은 고딕"/>
        <family val="0"/>
        <charset val="1"/>
      </rPr>
      <t xml:space="preserve">1 BP</t>
    </r>
    <r>
      <rPr>
        <sz val="10"/>
        <rFont val="WenQuanYi Zen Hei"/>
        <family val="2"/>
      </rPr>
      <t xml:space="preserve">의 원화 가치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베리샵 중 유리한 쪽 판정</t>
    </r>
  </si>
  <si>
    <r>
      <rPr>
        <sz val="10"/>
        <rFont val="WenQuanYi Zen Hei"/>
        <family val="2"/>
      </rPr>
      <t xml:space="preserve">결제 안내 </t>
    </r>
    <r>
      <rPr>
        <sz val="10"/>
        <rFont val="맑은 고딕"/>
        <family val="0"/>
        <charset val="1"/>
      </rPr>
      <t xml:space="preserve">/ FAQ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</si>
  <si>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</t>
    </r>
    <r>
      <rPr>
        <sz val="10"/>
        <rFont val="WenQuanYi Zen Hei"/>
        <family val="2"/>
      </rPr>
      <t xml:space="preserve">의 정확한 의미</t>
    </r>
  </si>
  <si>
    <t xml:space="preserve">현행 출금 단위표</t>
  </si>
  <si>
    <t xml:space="preserve">공식 크리에이터 출금 한도 충돌 해소</t>
  </si>
  <si>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비공식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크리에이터 정산율</t>
    </r>
  </si>
  <si>
    <t xml:space="preserve">공식 등급의 우대 폭 산출</t>
  </si>
  <si>
    <t xml:space="preserve">4</t>
  </si>
  <si>
    <r>
      <rPr>
        <sz val="10"/>
        <rFont val="WenQuanYi Zen Hei"/>
        <family val="2"/>
      </rPr>
      <t xml:space="preserve">윙</t>
    </r>
    <r>
      <rPr>
        <sz val="10"/>
        <rFont val="맑은 고딕"/>
        <family val="0"/>
        <charset val="1"/>
      </rPr>
      <t xml:space="preserve">(🪽) </t>
    </r>
    <r>
      <rPr>
        <sz val="10"/>
        <rFont val="WenQuanYi Zen Hei"/>
        <family val="2"/>
      </rPr>
      <t xml:space="preserve">선물 기능 안내</t>
    </r>
  </si>
  <si>
    <r>
      <rPr>
        <sz val="10"/>
        <rFont val="WenQuanYi Zen Hei"/>
        <family val="2"/>
      </rPr>
      <t xml:space="preserve">선물 수수료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의 모수</t>
    </r>
  </si>
  <si>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 초회 달성 보상 </t>
    </r>
    <r>
      <rPr>
        <sz val="10"/>
        <rFont val="맑은 고딕"/>
        <family val="0"/>
        <charset val="1"/>
      </rPr>
      <t xml:space="preserve">/ '6/4','3/2' </t>
    </r>
    <r>
      <rPr>
        <sz val="10"/>
        <rFont val="WenQuanYi Zen Hei"/>
        <family val="2"/>
      </rPr>
      <t xml:space="preserve">표기 의미</t>
    </r>
  </si>
  <si>
    <t xml:space="preserve">등급표 빈칸 보완</t>
  </si>
  <si>
    <t xml:space="preserve">전체</t>
  </si>
  <si>
    <t xml:space="preserve">원천징수율</t>
  </si>
  <si>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표기의 실수령 환산</t>
    </r>
  </si>
  <si>
    <t xml:space="preserve">크플 전속 크리에이터 제도 설계 — 관찰과 시사점</t>
  </si>
  <si>
    <r>
      <rPr>
        <i val="true"/>
        <sz val="9"/>
        <color rgb="FF595959"/>
        <rFont val="WenQuanYi Zen Hei"/>
        <family val="2"/>
      </rPr>
      <t xml:space="preserve">아래는 위 데이터에서 도출한 해석입니다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원문 사실이 아니라 판단이므로 구분해서 읽어주세요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</si>
  <si>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#</t>
  </si>
  <si>
    <t xml:space="preserve">관찰</t>
  </si>
  <si>
    <t xml:space="preserve">근거</t>
  </si>
  <si>
    <t xml:space="preserve">크플 시사점</t>
  </si>
  <si>
    <r>
      <rPr>
        <sz val="10"/>
        <rFont val="WenQuanYi Zen Hei"/>
        <family val="2"/>
      </rPr>
      <t xml:space="preserve">아무도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확실히 더 많은 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숫자로 제시하지 않는다</t>
    </r>
  </si>
  <si>
    <r>
      <rPr>
        <sz val="10"/>
        <rFont val="WenQuanYi Zen Hei"/>
        <family val="2"/>
      </rPr>
      <t xml:space="preserve">케이브덕은 채팅 가산이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이고 안내문도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이라며 수치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파트너는 요율 우대 자체가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</si>
  <si>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정산율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공개된 숫자로 못 박는 것만으로 유일한 포지션이 성립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경쟁사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모두 이 지점이 비어 있음</t>
    </r>
  </si>
  <si>
    <t xml:space="preserve">전속은 이미 희소한 자격이 아니다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</si>
  <si>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대화수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</si>
  <si>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선발된 소수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라는 포지셔닝으로는 차별화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문턱 낮추기 경쟁도 실익이 적음 — 조건 대비 보상의 크기로 승부할 것</t>
    </r>
  </si>
  <si>
    <r>
      <rPr>
        <sz val="10"/>
        <rFont val="WenQuanYi Zen Hei"/>
        <family val="2"/>
      </rPr>
      <t xml:space="preserve">독점 강도는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단계로 갈리고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신규작 단위가 가장 영리하다</t>
    </r>
  </si>
  <si>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케이브덕은 타 플랫폼 활동을 막지 않으면서 신규작은 영구 독점</t>
    </r>
  </si>
  <si>
    <r>
      <rPr>
        <sz val="10"/>
        <rFont val="WenQuanYi Zen Hei"/>
        <family val="2"/>
      </rPr>
      <t xml:space="preserve">전면 전속은 기존 수입 포기를 요구해 상위 크리에이터일수록 거절함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신규작 단위 독점이 진입 저항과 락인을 동시에 잡는 현실적 절충안</t>
    </r>
  </si>
  <si>
    <t xml:space="preserve">위약 조항이 있는 곳은 케이브덕뿐이다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</si>
  <si>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 회수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위약 조항 자체가 미명시</t>
    </r>
  </si>
  <si>
    <r>
      <rPr>
        <sz val="10"/>
        <rFont val="WenQuanYi Zen Hei"/>
        <family val="2"/>
      </rPr>
      <t xml:space="preserve">크리에이터에게 가장 무거운 리스크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회수 조항을 두지 않거나 상한을 명시하면 심리적 진입장벽을 낮출 수 있음</t>
    </r>
  </si>
  <si>
    <t xml:space="preserve">유지 의무를 건 곳도 케이브덕뿐인데 보상이 상징적이다</t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</si>
  <si>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</si>
  <si>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의무는 걸고 보상은 안 주는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유지 조건을 두더라도 보상 크기를 현실화해야 제도가 작동함</t>
    </r>
  </si>
  <si>
    <t xml:space="preserve">루나톡은 크플이 하려는 전략을 이미 실행 중이다</t>
  </si>
  <si>
    <r>
      <rPr>
        <sz val="10"/>
        <rFont val="WenQuanYi Zen Hei"/>
        <family val="2"/>
      </rPr>
      <t xml:space="preserve">전 등급 공통 신청 조건이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루나톡에서 활동중이거나 활동 예정인 타 플랫폼 활동작가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타 플랫폼 실적으로 지원하는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이주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트랙을 별도 운영</t>
    </r>
  </si>
  <si>
    <r>
      <rPr>
        <sz val="10"/>
        <rFont val="WenQuanYi Zen Hei"/>
        <family val="2"/>
      </rPr>
      <t xml:space="preserve">벤치마킹 대상이자 같은 풀을 놓고 다툴 직접 경쟁자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우선 분석 대상으로 올릴 것</t>
    </r>
  </si>
  <si>
    <r>
      <rPr>
        <sz val="10"/>
        <rFont val="WenQuanYi Zen Hei"/>
        <family val="2"/>
      </rPr>
      <t xml:space="preserve">타 플랫폼 실적을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할인 인정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하는 환산 규칙의 선례가 있다</t>
    </r>
  </si>
  <si>
    <r>
      <rPr>
        <sz val="10"/>
        <rFont val="WenQuanYi Zen Hei"/>
        <family val="2"/>
      </rPr>
      <t xml:space="preserve">루나톡 이주 트랙은 자사 대화수 대비 </t>
    </r>
    <r>
      <rPr>
        <sz val="10"/>
        <rFont val="맑은 고딕"/>
        <family val="0"/>
        <charset val="1"/>
      </rPr>
      <t xml:space="preserve">2.5~6</t>
    </r>
    <r>
      <rPr>
        <sz val="10"/>
        <rFont val="WenQuanYi Zen Hei"/>
        <family val="2"/>
      </rPr>
      <t xml:space="preserve">배를 요구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</si>
  <si>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외부 실적을 등급으로 환산하는 시장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배수를 낮추면 그 자체가 유인이 됨</t>
    </r>
  </si>
  <si>
    <t xml:space="preserve">전속 혜택의 무게중심이 현금에서 창작 인프라로 이동 중이다</t>
  </si>
  <si>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NovelAI·PIX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스테이블 디퓨전</t>
    </r>
    <r>
      <rPr>
        <sz val="10"/>
        <rFont val="맑은 고딕"/>
        <family val="0"/>
        <charset val="1"/>
      </rPr>
      <t xml:space="preserve">, BGM 30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여행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GPU, </t>
    </r>
    <r>
      <rPr>
        <sz val="10"/>
        <rFont val="WenQuanYi Zen Hei"/>
        <family val="2"/>
      </rPr>
      <t xml:space="preserve">굿즈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현지화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</si>
  <si>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현금 여력이 부족한 신규 플랫폼도 인프라 제공으로 경쟁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크리에이터가 원하는 것이 도구인지 돈인지는 확인 필요 — 인터뷰 권장</t>
    </r>
  </si>
  <si>
    <t xml:space="preserve">비전속</t>
  </si>
  <si>
    <t xml:space="preserve">정액제는 고래 유저를 크리에이터 수익으로 연결하지 못한다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</si>
  <si>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 모두 채팅 건당 정액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아무리 많이 결제해도 크리에이터 몫은 메시지 수에 고정</t>
    </r>
  </si>
  <si>
    <r>
      <rPr>
        <sz val="10"/>
        <rFont val="WenQuanYi Zen Hei"/>
        <family val="2"/>
      </rPr>
      <t xml:space="preserve">정률제 채택 시 그 자체가 구조적 차별점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특히 헤비 유저를 보유한 상위 크리에이터에게 강하게 소구</t>
    </r>
  </si>
  <si>
    <t xml:space="preserve">베이비챗 크리에이터는 베리로 현금을 만질 수 없다</t>
  </si>
  <si>
    <r>
      <rPr>
        <sz val="10"/>
        <rFont val="WenQuanYi Zen Hei"/>
        <family val="2"/>
      </rPr>
      <t xml:space="preserve">베리 출구는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과 베리샵 상품 교환뿐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출금 경로 없음</t>
    </r>
  </si>
  <si>
    <r>
      <rPr>
        <sz val="10"/>
        <rFont val="WenQuanYi Zen Hei"/>
        <family val="2"/>
      </rPr>
      <t xml:space="preserve">현금 정산을 전면에 내세우면 베이비챗 풀에 직접 소구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확인 후 확정할 것</t>
    </r>
  </si>
  <si>
    <r>
      <rPr>
        <sz val="10"/>
        <rFont val="WenQuanYi Zen Hei"/>
        <family val="2"/>
      </rPr>
      <t xml:space="preserve">베이비챗의 표기 적립률과 실질 구매력이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배 차이난다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</si>
  <si>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적립 → 베리→프로챗 </t>
    </r>
    <r>
      <rPr>
        <sz val="10"/>
        <rFont val="맑은 고딕"/>
        <family val="0"/>
        <charset val="1"/>
      </rPr>
      <t xml:space="preserve">10:1 </t>
    </r>
    <r>
      <rPr>
        <sz val="10"/>
        <rFont val="WenQuanYi Zen Hei"/>
        <family val="2"/>
      </rPr>
      <t xml:space="preserve">전환 → 실질 </t>
    </r>
    <r>
      <rPr>
        <sz val="10"/>
        <rFont val="맑은 고딕"/>
        <family val="0"/>
        <charset val="1"/>
      </rPr>
      <t xml:space="preserve">1%. </t>
    </r>
    <r>
      <rPr>
        <sz val="10"/>
        <rFont val="WenQuanYi Zen Hei"/>
        <family val="2"/>
      </rPr>
      <t xml:space="preserve">제도상 최대치도 </t>
    </r>
    <r>
      <rPr>
        <sz val="10"/>
        <rFont val="맑은 고딕"/>
        <family val="0"/>
        <charset val="1"/>
      </rPr>
      <t xml:space="preserve">2.3%</t>
    </r>
  </si>
  <si>
    <r>
      <rPr>
        <sz val="10"/>
        <rFont val="WenQuanYi Zen Hei"/>
        <family val="2"/>
      </rPr>
      <t xml:space="preserve">숫자를 크게 보이게 하는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단일 단위로 표기해 신뢰를 가져갈 수 있음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</si>
  <si>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소멸이 롱테일을 배제한다</t>
    </r>
  </si>
  <si>
    <r>
      <rPr>
        <sz val="10"/>
        <rFont val="WenQuanYi Zen Hei"/>
        <family val="2"/>
      </rPr>
      <t xml:space="preserve">작품별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미달 시 적립분 사용 불가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년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집계로 합산 불가</t>
    </r>
  </si>
  <si>
    <r>
      <rPr>
        <sz val="10"/>
        <rFont val="WenQuanYi Zen Hei"/>
        <family val="2"/>
      </rPr>
      <t xml:space="preserve">활성화 장벽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계정 단위 합산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소멸 없음 — 셋 중 하나만 걸어도 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다작 크리에이터에게 명확한 대비</t>
    </r>
  </si>
  <si>
    <t xml:space="preserve">건당 수령액 격차가 크다</t>
  </si>
  <si>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급 기준 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미달</t>
    </r>
  </si>
  <si>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 결제 단가 미확인이라 정산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아직 아님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충전 가격표 확보 후 확정 필요</t>
    </r>
  </si>
  <si>
    <t xml:space="preserve">공통</t>
  </si>
  <si>
    <r>
      <rPr>
        <sz val="10"/>
        <rFont val="WenQuanYi Zen Hei"/>
        <family val="2"/>
      </rPr>
      <t xml:space="preserve">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선물 정산율은 이미 </t>
    </r>
    <r>
      <rPr>
        <sz val="10"/>
        <rFont val="맑은 고딕"/>
        <family val="0"/>
        <charset val="1"/>
      </rPr>
      <t xml:space="preserve">90%</t>
    </r>
    <r>
      <rPr>
        <sz val="10"/>
        <rFont val="WenQuanYi Zen Hei"/>
        <family val="2"/>
      </rPr>
      <t xml:space="preserve">대가 경쟁 기준선이다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</si>
  <si>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90~97%, </t>
    </r>
    <r>
      <rPr>
        <sz val="10"/>
        <rFont val="WenQuanYi Zen Hei"/>
        <family val="2"/>
      </rPr>
      <t xml:space="preserve">케이브덕 공식 </t>
    </r>
    <r>
      <rPr>
        <sz val="10"/>
        <rFont val="맑은 고딕"/>
        <family val="0"/>
        <charset val="1"/>
      </rPr>
      <t xml:space="preserve">90%(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80%),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70~90%</t>
    </r>
  </si>
  <si>
    <r>
      <rPr>
        <sz val="10"/>
        <rFont val="WenQuanYi Zen Hei"/>
        <family val="2"/>
      </rPr>
      <t xml:space="preserve">후원 정산율로는 차별화 여지가 거의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차별화는 채팅 정산 쪽에서 만들어야 함</t>
    </r>
  </si>
  <si>
    <t xml:space="preserve">독점 강제 방식이 플랫폼마다 다르다</t>
  </si>
  <si>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그냥 내리면 됨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 공식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신규작 영구 독점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적립금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타 플랫폼에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중단 공지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게시 의무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계약으로 전면 금지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요구 없음</t>
    </r>
  </si>
  <si>
    <r>
      <rPr>
        <sz val="10"/>
        <rFont val="WenQuanYi Zen Hei"/>
        <family val="2"/>
      </rPr>
      <t xml:space="preserve">베이비챗 방식이 가장 공격적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경쟁 플랫폼 유저에게 이탈을 광고하게 만듦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크플의 독점 요구 강도를 어디에 둘지 판단 필요</t>
    </r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</si>
</sst>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0.0"/>
    <numFmt numFmtId="166" formatCode="#,##0.0\원;;\-"/>
    <numFmt numFmtId="167" formatCode="0.0%;;\-"/>
    <numFmt numFmtId="168" formatCode="0"/>
    <numFmt numFmtId="169" formatCode="#,##0"/>
    <numFmt numFmtId="170" formatCode="0%"/>
    <numFmt numFmtId="171" formatCode="0.0%"/>
    <numFmt numFmtId="172" formatCode="#,##0;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name val="맑은 고딕"/>
      <family val="0"/>
      <charset val="1"/>
    </font>
    <font>
      <b val="true"/>
      <sz val="14"/>
      <name val="맑은 고딕"/>
      <family val="0"/>
      <charset val="1"/>
    </font>
    <font>
      <sz val="10"/>
      <color rgb="FF0000FF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F4B7C"/>
        <bgColor rgb="FF595959"/>
      </patternFill>
    </fill>
    <fill>
      <patternFill patternType="solid">
        <fgColor rgb="FFD9E1F2"/>
        <bgColor rgb="FFFCE4E4"/>
      </patternFill>
    </fill>
    <fill>
      <patternFill patternType="solid">
        <fgColor rgb="FFFCE4E4"/>
        <bgColor rgb="FFFFF2CC"/>
      </patternFill>
    </fill>
    <fill>
      <patternFill patternType="solid">
        <fgColor rgb="FFFFF2CC"/>
        <bgColor rgb="FFFCE4E4"/>
      </patternFill>
    </fill>
    <fill>
      <patternFill patternType="solid">
        <fgColor rgb="FF7A5195"/>
        <bgColor rgb="FF59595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7A5195"/>
      <rgbColor rgb="FF969696"/>
      <rgbColor rgb="FF003366"/>
      <rgbColor rgb="FF339966"/>
      <rgbColor rgb="FF003300"/>
      <rgbColor rgb="FF333300"/>
      <rgbColor rgb="FF993300"/>
      <rgbColor rgb="FF993366"/>
      <rgbColor rgb="FF2F4B7C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40"/>
    <col collapsed="false" customWidth="true" hidden="false" outlineLevel="0" max="4" min="4" style="0" width="42"/>
    <col collapsed="false" customWidth="true" hidden="false" outlineLevel="0" max="5" min="5" style="0" width="4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24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</row>
    <row r="6" customFormat="false" ht="15" hidden="false" customHeight="false" outlineLevel="0" collapsed="false">
      <c r="A6" s="4" t="s">
        <v>8</v>
      </c>
      <c r="B6" s="5" t="s">
        <v>9</v>
      </c>
      <c r="C6" s="5" t="s">
        <v>9</v>
      </c>
      <c r="D6" s="5" t="s">
        <v>10</v>
      </c>
      <c r="E6" s="5" t="s">
        <v>11</v>
      </c>
    </row>
    <row r="7" customFormat="false" ht="15" hidden="false" customHeight="false" outlineLevel="0" collapsed="false">
      <c r="A7" s="4" t="s">
        <v>12</v>
      </c>
      <c r="B7" s="6" t="s">
        <v>13</v>
      </c>
      <c r="C7" s="6" t="s">
        <v>14</v>
      </c>
      <c r="D7" s="6" t="s">
        <v>14</v>
      </c>
      <c r="E7" s="7" t="s">
        <v>15</v>
      </c>
    </row>
    <row r="8" customFormat="false" ht="15" hidden="false" customHeight="false" outlineLevel="0" collapsed="false">
      <c r="A8" s="8" t="s">
        <v>16</v>
      </c>
      <c r="B8" s="9" t="s">
        <v>17</v>
      </c>
      <c r="C8" s="9" t="s">
        <v>18</v>
      </c>
      <c r="D8" s="9" t="s">
        <v>19</v>
      </c>
      <c r="E8" s="9" t="s">
        <v>20</v>
      </c>
    </row>
    <row r="9" customFormat="false" ht="39.55" hidden="false" customHeight="false" outlineLevel="0" collapsed="false">
      <c r="A9" s="8" t="s">
        <v>21</v>
      </c>
      <c r="B9" s="9" t="s">
        <v>22</v>
      </c>
      <c r="C9" s="9" t="s">
        <v>23</v>
      </c>
      <c r="D9" s="9" t="s">
        <v>24</v>
      </c>
      <c r="E9" s="9" t="s">
        <v>25</v>
      </c>
    </row>
    <row r="10" customFormat="false" ht="26.85" hidden="false" customHeight="false" outlineLevel="0" collapsed="false">
      <c r="A10" s="8" t="s">
        <v>26</v>
      </c>
      <c r="B10" s="9" t="s">
        <v>27</v>
      </c>
      <c r="C10" s="9" t="s">
        <v>28</v>
      </c>
      <c r="D10" s="9" t="s">
        <v>29</v>
      </c>
      <c r="E10" s="9" t="s">
        <v>29</v>
      </c>
    </row>
    <row r="11" customFormat="false" ht="39.55" hidden="false" customHeight="false" outlineLevel="0" collapsed="false">
      <c r="A11" s="8" t="s">
        <v>30</v>
      </c>
      <c r="B11" s="9" t="s">
        <v>31</v>
      </c>
      <c r="C11" s="9" t="s">
        <v>31</v>
      </c>
      <c r="D11" s="9" t="s">
        <v>31</v>
      </c>
      <c r="E11" s="10" t="s">
        <v>32</v>
      </c>
    </row>
    <row r="12" customFormat="false" ht="90.25" hidden="false" customHeight="false" outlineLevel="0" collapsed="false">
      <c r="A12" s="8" t="s">
        <v>33</v>
      </c>
      <c r="B12" s="9" t="s">
        <v>34</v>
      </c>
      <c r="C12" s="10" t="s">
        <v>35</v>
      </c>
      <c r="D12" s="10" t="s">
        <v>36</v>
      </c>
      <c r="E12" s="9" t="s">
        <v>37</v>
      </c>
    </row>
    <row r="13" customFormat="false" ht="26.85" hidden="false" customHeight="false" outlineLevel="0" collapsed="false">
      <c r="A13" s="8" t="s">
        <v>38</v>
      </c>
      <c r="B13" s="9" t="s">
        <v>39</v>
      </c>
      <c r="C13" s="9" t="s">
        <v>40</v>
      </c>
      <c r="D13" s="9" t="s">
        <v>41</v>
      </c>
      <c r="E13" s="9" t="s">
        <v>42</v>
      </c>
    </row>
    <row r="14" customFormat="false" ht="52.2" hidden="false" customHeight="false" outlineLevel="0" collapsed="false">
      <c r="A14" s="8" t="s">
        <v>43</v>
      </c>
      <c r="B14" s="9" t="s">
        <v>44</v>
      </c>
      <c r="C14" s="10" t="s">
        <v>45</v>
      </c>
      <c r="D14" s="9" t="s">
        <v>46</v>
      </c>
      <c r="E14" s="9" t="s">
        <v>47</v>
      </c>
    </row>
    <row r="15" customFormat="false" ht="39.55" hidden="false" customHeight="false" outlineLevel="0" collapsed="false">
      <c r="A15" s="8" t="s">
        <v>48</v>
      </c>
      <c r="B15" s="9" t="s">
        <v>49</v>
      </c>
      <c r="C15" s="9" t="s">
        <v>31</v>
      </c>
      <c r="D15" s="9" t="s">
        <v>50</v>
      </c>
      <c r="E15" s="9" t="s">
        <v>51</v>
      </c>
    </row>
    <row r="16" customFormat="false" ht="39.55" hidden="false" customHeight="false" outlineLevel="0" collapsed="false">
      <c r="A16" s="8" t="s">
        <v>52</v>
      </c>
      <c r="B16" s="9" t="s">
        <v>53</v>
      </c>
      <c r="C16" s="9" t="s">
        <v>54</v>
      </c>
      <c r="D16" s="9" t="s">
        <v>55</v>
      </c>
      <c r="E16" s="9" t="s">
        <v>56</v>
      </c>
    </row>
    <row r="17" customFormat="false" ht="52.2" hidden="false" customHeight="false" outlineLevel="0" collapsed="false">
      <c r="A17" s="8" t="s">
        <v>57</v>
      </c>
      <c r="B17" s="9" t="s">
        <v>58</v>
      </c>
      <c r="C17" s="9" t="s">
        <v>59</v>
      </c>
      <c r="D17" s="9" t="s">
        <v>60</v>
      </c>
      <c r="E17" s="10" t="s">
        <v>61</v>
      </c>
    </row>
    <row r="18" customFormat="false" ht="39.55" hidden="false" customHeight="false" outlineLevel="0" collapsed="false">
      <c r="A18" s="8" t="s">
        <v>62</v>
      </c>
      <c r="B18" s="9" t="s">
        <v>31</v>
      </c>
      <c r="C18" s="9" t="s">
        <v>63</v>
      </c>
      <c r="D18" s="9" t="s">
        <v>64</v>
      </c>
      <c r="E18" s="9" t="s">
        <v>65</v>
      </c>
    </row>
    <row r="19" customFormat="false" ht="64.9" hidden="false" customHeight="false" outlineLevel="0" collapsed="false">
      <c r="A19" s="8" t="s">
        <v>66</v>
      </c>
      <c r="B19" s="9" t="s">
        <v>67</v>
      </c>
      <c r="C19" s="9" t="s">
        <v>29</v>
      </c>
      <c r="D19" s="9" t="s">
        <v>29</v>
      </c>
      <c r="E19" s="9" t="s">
        <v>29</v>
      </c>
    </row>
    <row r="20" customFormat="false" ht="39.55" hidden="false" customHeight="false" outlineLevel="0" collapsed="false">
      <c r="A20" s="8" t="s">
        <v>68</v>
      </c>
      <c r="B20" s="9" t="s">
        <v>69</v>
      </c>
      <c r="C20" s="9" t="s">
        <v>29</v>
      </c>
      <c r="D20" s="9" t="s">
        <v>29</v>
      </c>
      <c r="E20" s="9" t="s">
        <v>29</v>
      </c>
    </row>
    <row r="21" customFormat="false" ht="26.85" hidden="false" customHeight="false" outlineLevel="0" collapsed="false">
      <c r="A21" s="8" t="s">
        <v>70</v>
      </c>
      <c r="B21" s="11" t="s">
        <v>71</v>
      </c>
      <c r="C21" s="11" t="s">
        <v>72</v>
      </c>
      <c r="D21" s="11" t="s">
        <v>29</v>
      </c>
      <c r="E21" s="9" t="s">
        <v>29</v>
      </c>
    </row>
    <row r="22" customFormat="false" ht="26.85" hidden="false" customHeight="false" outlineLevel="0" collapsed="false">
      <c r="A22" s="8" t="s">
        <v>73</v>
      </c>
      <c r="B22" s="9" t="s">
        <v>74</v>
      </c>
      <c r="C22" s="9" t="s">
        <v>75</v>
      </c>
      <c r="D22" s="9" t="s">
        <v>76</v>
      </c>
      <c r="E22" s="9" t="s">
        <v>29</v>
      </c>
    </row>
    <row r="23" customFormat="false" ht="15" hidden="false" customHeight="false" outlineLevel="0" collapsed="false">
      <c r="A23" s="8" t="s">
        <v>77</v>
      </c>
      <c r="B23" s="9" t="s">
        <v>78</v>
      </c>
      <c r="C23" s="9" t="s">
        <v>79</v>
      </c>
      <c r="D23" s="9" t="s">
        <v>78</v>
      </c>
      <c r="E23" s="9" t="s">
        <v>80</v>
      </c>
    </row>
    <row r="25" customFormat="false" ht="15" hidden="false" customHeight="false" outlineLevel="0" collapsed="false">
      <c r="A25" s="12" t="s">
        <v>81</v>
      </c>
    </row>
    <row r="26" customFormat="false" ht="15" hidden="false" customHeight="false" outlineLevel="0" collapsed="false">
      <c r="A26" s="13" t="s">
        <v>82</v>
      </c>
    </row>
    <row r="27" customFormat="false" ht="15" hidden="false" customHeight="false" outlineLevel="0" collapsed="false">
      <c r="A27" s="13" t="s">
        <v>83</v>
      </c>
    </row>
    <row r="28" customFormat="false" ht="15" hidden="false" customHeight="false" outlineLevel="0" collapsed="false">
      <c r="A28" s="13" t="s">
        <v>84</v>
      </c>
    </row>
    <row r="29" customFormat="false" ht="15" hidden="false" customHeight="false" outlineLevel="0" collapsed="false">
      <c r="A29" s="13" t="s">
        <v>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46"/>
    <col collapsed="false" customWidth="true" hidden="false" outlineLevel="0" max="5" min="5" style="0" width="38"/>
    <col collapsed="false" customWidth="true" hidden="false" outlineLevel="0" max="6" min="6" style="0" width="26"/>
  </cols>
  <sheetData>
    <row r="1" customFormat="false" ht="19.4" hidden="false" customHeight="false" outlineLevel="0" collapsed="false">
      <c r="A1" s="1" t="s">
        <v>86</v>
      </c>
    </row>
    <row r="2" customFormat="false" ht="15" hidden="false" customHeight="false" outlineLevel="0" collapsed="false">
      <c r="A2" s="2" t="s">
        <v>87</v>
      </c>
    </row>
    <row r="4" customFormat="false" ht="24" hidden="false" customHeight="true" outlineLevel="0" collapsed="false">
      <c r="A4" s="14" t="s">
        <v>88</v>
      </c>
      <c r="B4" s="14" t="s">
        <v>3</v>
      </c>
      <c r="C4" s="14" t="s">
        <v>4</v>
      </c>
      <c r="D4" s="14" t="s">
        <v>5</v>
      </c>
      <c r="E4" s="14" t="s">
        <v>6</v>
      </c>
      <c r="F4" s="14" t="s">
        <v>7</v>
      </c>
    </row>
    <row r="5" customFormat="false" ht="15" hidden="false" customHeight="false" outlineLevel="0" collapsed="false">
      <c r="A5" s="4" t="s">
        <v>89</v>
      </c>
      <c r="B5" s="4" t="s">
        <v>8</v>
      </c>
      <c r="C5" s="5" t="s">
        <v>90</v>
      </c>
      <c r="D5" s="5" t="s">
        <v>91</v>
      </c>
      <c r="E5" s="5" t="s">
        <v>92</v>
      </c>
      <c r="F5" s="5" t="s">
        <v>93</v>
      </c>
    </row>
    <row r="6" customFormat="false" ht="15" hidden="false" customHeight="false" outlineLevel="0" collapsed="false">
      <c r="A6" s="8"/>
      <c r="B6" s="8" t="s">
        <v>94</v>
      </c>
      <c r="C6" s="9" t="s">
        <v>95</v>
      </c>
      <c r="D6" s="10" t="s">
        <v>96</v>
      </c>
      <c r="E6" s="9" t="s">
        <v>97</v>
      </c>
      <c r="F6" s="9" t="s">
        <v>93</v>
      </c>
    </row>
    <row r="7" customFormat="false" ht="15" hidden="false" customHeight="false" outlineLevel="0" collapsed="false">
      <c r="A7" s="8"/>
      <c r="B7" s="8" t="s">
        <v>98</v>
      </c>
      <c r="C7" s="9" t="s">
        <v>99</v>
      </c>
      <c r="D7" s="9" t="s">
        <v>100</v>
      </c>
      <c r="E7" s="9" t="s">
        <v>101</v>
      </c>
      <c r="F7" s="9" t="s">
        <v>93</v>
      </c>
    </row>
    <row r="8" customFormat="false" ht="15" hidden="false" customHeight="false" outlineLevel="0" collapsed="false">
      <c r="A8" s="8"/>
      <c r="B8" s="8" t="s">
        <v>102</v>
      </c>
      <c r="C8" s="10" t="s">
        <v>103</v>
      </c>
      <c r="D8" s="9" t="s">
        <v>104</v>
      </c>
      <c r="E8" s="10" t="s">
        <v>105</v>
      </c>
      <c r="F8" s="9" t="s">
        <v>93</v>
      </c>
    </row>
    <row r="9" customFormat="false" ht="15" hidden="false" customHeight="false" outlineLevel="0" collapsed="false">
      <c r="A9" s="8"/>
      <c r="B9" s="8" t="s">
        <v>106</v>
      </c>
      <c r="C9" s="9" t="s">
        <v>107</v>
      </c>
      <c r="D9" s="15" t="s">
        <v>108</v>
      </c>
      <c r="E9" s="9" t="s">
        <v>107</v>
      </c>
      <c r="F9" s="9" t="s">
        <v>93</v>
      </c>
    </row>
    <row r="10" customFormat="false" ht="15" hidden="false" customHeight="false" outlineLevel="0" collapsed="false">
      <c r="A10" s="8"/>
      <c r="B10" s="8" t="s">
        <v>109</v>
      </c>
      <c r="C10" s="9" t="s">
        <v>110</v>
      </c>
      <c r="D10" s="15" t="s">
        <v>111</v>
      </c>
      <c r="E10" s="9" t="s">
        <v>112</v>
      </c>
      <c r="F10" s="9" t="s">
        <v>93</v>
      </c>
    </row>
    <row r="11" customFormat="false" ht="15" hidden="false" customHeight="false" outlineLevel="0" collapsed="false">
      <c r="A11" s="8"/>
      <c r="B11" s="8" t="s">
        <v>113</v>
      </c>
      <c r="C11" s="10" t="s">
        <v>114</v>
      </c>
      <c r="D11" s="9" t="s">
        <v>115</v>
      </c>
      <c r="E11" s="9" t="s">
        <v>116</v>
      </c>
      <c r="F11" s="9" t="s">
        <v>93</v>
      </c>
    </row>
    <row r="12" customFormat="false" ht="15" hidden="false" customHeight="false" outlineLevel="0" collapsed="false">
      <c r="A12" s="8"/>
      <c r="B12" s="8" t="s">
        <v>117</v>
      </c>
      <c r="C12" s="9" t="s">
        <v>118</v>
      </c>
      <c r="D12" s="9" t="s">
        <v>119</v>
      </c>
      <c r="E12" s="9" t="s">
        <v>120</v>
      </c>
      <c r="F12" s="9" t="s">
        <v>93</v>
      </c>
    </row>
    <row r="13" customFormat="false" ht="26.85" hidden="false" customHeight="false" outlineLevel="0" collapsed="false">
      <c r="A13" s="8"/>
      <c r="B13" s="8" t="s">
        <v>121</v>
      </c>
      <c r="C13" s="9" t="s">
        <v>31</v>
      </c>
      <c r="D13" s="15" t="s">
        <v>122</v>
      </c>
      <c r="E13" s="9" t="s">
        <v>31</v>
      </c>
      <c r="F13" s="9" t="s">
        <v>93</v>
      </c>
    </row>
    <row r="14" customFormat="false" ht="15" hidden="false" customHeight="false" outlineLevel="0" collapsed="false">
      <c r="A14" s="8"/>
      <c r="B14" s="8" t="s">
        <v>123</v>
      </c>
      <c r="C14" s="9" t="s">
        <v>124</v>
      </c>
      <c r="D14" s="9" t="s">
        <v>125</v>
      </c>
      <c r="E14" s="9" t="s">
        <v>126</v>
      </c>
      <c r="F14" s="9" t="s">
        <v>93</v>
      </c>
    </row>
    <row r="15" customFormat="false" ht="15" hidden="false" customHeight="false" outlineLevel="0" collapsed="false">
      <c r="A15" s="8"/>
      <c r="B15" s="8" t="s">
        <v>127</v>
      </c>
      <c r="C15" s="9" t="s">
        <v>128</v>
      </c>
      <c r="D15" s="9" t="s">
        <v>129</v>
      </c>
      <c r="E15" s="9" t="s">
        <v>93</v>
      </c>
      <c r="F15" s="9" t="s">
        <v>93</v>
      </c>
    </row>
    <row r="16" customFormat="false" ht="26.85" hidden="false" customHeight="false" outlineLevel="0" collapsed="false">
      <c r="A16" s="8"/>
      <c r="B16" s="8" t="s">
        <v>130</v>
      </c>
      <c r="C16" s="9" t="s">
        <v>93</v>
      </c>
      <c r="D16" s="9" t="s">
        <v>131</v>
      </c>
      <c r="E16" s="9" t="s">
        <v>93</v>
      </c>
      <c r="F16" s="9" t="s">
        <v>93</v>
      </c>
    </row>
    <row r="17" customFormat="false" ht="26.85" hidden="false" customHeight="false" outlineLevel="0" collapsed="false">
      <c r="A17" s="8"/>
      <c r="B17" s="8" t="s">
        <v>132</v>
      </c>
      <c r="C17" s="9" t="s">
        <v>133</v>
      </c>
      <c r="D17" s="10" t="s">
        <v>134</v>
      </c>
      <c r="E17" s="9" t="s">
        <v>135</v>
      </c>
      <c r="F17" s="9" t="s">
        <v>136</v>
      </c>
    </row>
    <row r="18" customFormat="false" ht="15" hidden="false" customHeight="false" outlineLevel="0" collapsed="false">
      <c r="A18" s="8"/>
      <c r="B18" s="8" t="s">
        <v>137</v>
      </c>
      <c r="C18" s="9" t="s">
        <v>29</v>
      </c>
      <c r="D18" s="9" t="s">
        <v>138</v>
      </c>
      <c r="E18" s="9" t="s">
        <v>139</v>
      </c>
      <c r="F18" s="9" t="s">
        <v>93</v>
      </c>
    </row>
    <row r="19" customFormat="false" ht="26.85" hidden="false" customHeight="false" outlineLevel="0" collapsed="false">
      <c r="A19" s="8"/>
      <c r="B19" s="8" t="s">
        <v>140</v>
      </c>
      <c r="C19" s="9" t="s">
        <v>93</v>
      </c>
      <c r="D19" s="9" t="s">
        <v>141</v>
      </c>
      <c r="E19" s="9" t="s">
        <v>93</v>
      </c>
      <c r="F19" s="9" t="s">
        <v>93</v>
      </c>
    </row>
    <row r="20" customFormat="false" ht="15" hidden="false" customHeight="false" outlineLevel="0" collapsed="false">
      <c r="A20" s="4" t="s">
        <v>142</v>
      </c>
      <c r="B20" s="4" t="s">
        <v>8</v>
      </c>
      <c r="C20" s="5" t="s">
        <v>143</v>
      </c>
      <c r="D20" s="6" t="s">
        <v>144</v>
      </c>
      <c r="E20" s="5" t="s">
        <v>42</v>
      </c>
      <c r="F20" s="5" t="s">
        <v>42</v>
      </c>
    </row>
    <row r="21" customFormat="false" ht="26.85" hidden="false" customHeight="false" outlineLevel="0" collapsed="false">
      <c r="A21" s="8"/>
      <c r="B21" s="8" t="s">
        <v>145</v>
      </c>
      <c r="C21" s="9" t="s">
        <v>146</v>
      </c>
      <c r="D21" s="9" t="s">
        <v>147</v>
      </c>
      <c r="E21" s="10" t="s">
        <v>148</v>
      </c>
      <c r="F21" s="10" t="s">
        <v>148</v>
      </c>
    </row>
    <row r="22" customFormat="false" ht="15" hidden="false" customHeight="false" outlineLevel="0" collapsed="false">
      <c r="A22" s="8"/>
      <c r="B22" s="8" t="s">
        <v>38</v>
      </c>
      <c r="C22" s="10" t="s">
        <v>149</v>
      </c>
      <c r="D22" s="10" t="s">
        <v>150</v>
      </c>
      <c r="E22" s="10" t="s">
        <v>148</v>
      </c>
      <c r="F22" s="10" t="s">
        <v>148</v>
      </c>
    </row>
    <row r="23" customFormat="false" ht="15" hidden="false" customHeight="false" outlineLevel="0" collapsed="false">
      <c r="A23" s="8"/>
      <c r="B23" s="8" t="s">
        <v>151</v>
      </c>
      <c r="C23" s="9" t="s">
        <v>128</v>
      </c>
      <c r="D23" s="9" t="s">
        <v>128</v>
      </c>
      <c r="E23" s="10" t="s">
        <v>148</v>
      </c>
      <c r="F23" s="10" t="s">
        <v>148</v>
      </c>
    </row>
    <row r="24" customFormat="false" ht="38.05" hidden="false" customHeight="false" outlineLevel="0" collapsed="false">
      <c r="A24" s="8"/>
      <c r="B24" s="8" t="s">
        <v>43</v>
      </c>
      <c r="C24" s="9" t="s">
        <v>152</v>
      </c>
      <c r="D24" s="9" t="s">
        <v>153</v>
      </c>
      <c r="E24" s="10" t="s">
        <v>148</v>
      </c>
      <c r="F24" s="10" t="s">
        <v>148</v>
      </c>
    </row>
    <row r="25" customFormat="false" ht="25.35" hidden="false" customHeight="false" outlineLevel="0" collapsed="false">
      <c r="A25" s="8"/>
      <c r="B25" s="8" t="s">
        <v>109</v>
      </c>
      <c r="C25" s="9" t="s">
        <v>93</v>
      </c>
      <c r="D25" s="15" t="s">
        <v>154</v>
      </c>
      <c r="E25" s="10" t="s">
        <v>148</v>
      </c>
      <c r="F25" s="10" t="s">
        <v>148</v>
      </c>
    </row>
    <row r="26" customFormat="false" ht="26.85" hidden="false" customHeight="false" outlineLevel="0" collapsed="false">
      <c r="A26" s="8"/>
      <c r="B26" s="8" t="s">
        <v>155</v>
      </c>
      <c r="C26" s="9" t="s">
        <v>156</v>
      </c>
      <c r="D26" s="9" t="s">
        <v>157</v>
      </c>
      <c r="E26" s="10" t="s">
        <v>148</v>
      </c>
      <c r="F26" s="10" t="s">
        <v>148</v>
      </c>
    </row>
    <row r="27" customFormat="false" ht="26.85" hidden="false" customHeight="false" outlineLevel="0" collapsed="false">
      <c r="A27" s="8"/>
      <c r="B27" s="8" t="s">
        <v>158</v>
      </c>
      <c r="C27" s="9" t="s">
        <v>159</v>
      </c>
      <c r="D27" s="9" t="s">
        <v>29</v>
      </c>
      <c r="E27" s="10" t="s">
        <v>148</v>
      </c>
      <c r="F27" s="10" t="s">
        <v>148</v>
      </c>
    </row>
    <row r="28" customFormat="false" ht="15" hidden="false" customHeight="false" outlineLevel="0" collapsed="false">
      <c r="A28" s="8"/>
      <c r="B28" s="8" t="s">
        <v>160</v>
      </c>
      <c r="C28" s="9" t="s">
        <v>161</v>
      </c>
      <c r="D28" s="9" t="s">
        <v>29</v>
      </c>
      <c r="E28" s="10" t="s">
        <v>148</v>
      </c>
      <c r="F28" s="10" t="s">
        <v>148</v>
      </c>
    </row>
    <row r="29" customFormat="false" ht="26.85" hidden="false" customHeight="false" outlineLevel="0" collapsed="false">
      <c r="A29" s="8"/>
      <c r="B29" s="8" t="s">
        <v>162</v>
      </c>
      <c r="C29" s="9" t="s">
        <v>93</v>
      </c>
      <c r="D29" s="9" t="s">
        <v>163</v>
      </c>
      <c r="E29" s="10" t="s">
        <v>148</v>
      </c>
      <c r="F29" s="10" t="s">
        <v>148</v>
      </c>
    </row>
    <row r="30" customFormat="false" ht="26.85" hidden="false" customHeight="false" outlineLevel="0" collapsed="false">
      <c r="A30" s="8"/>
      <c r="B30" s="8" t="s">
        <v>164</v>
      </c>
      <c r="C30" s="10" t="s">
        <v>165</v>
      </c>
      <c r="D30" s="10" t="s">
        <v>166</v>
      </c>
      <c r="E30" s="10" t="s">
        <v>148</v>
      </c>
      <c r="F30" s="10" t="s">
        <v>148</v>
      </c>
    </row>
    <row r="31" customFormat="false" ht="26.85" hidden="false" customHeight="false" outlineLevel="0" collapsed="false">
      <c r="A31" s="8"/>
      <c r="B31" s="8" t="s">
        <v>167</v>
      </c>
      <c r="C31" s="9" t="s">
        <v>168</v>
      </c>
      <c r="D31" s="9" t="s">
        <v>29</v>
      </c>
      <c r="E31" s="10" t="s">
        <v>148</v>
      </c>
      <c r="F31" s="10" t="s">
        <v>148</v>
      </c>
    </row>
    <row r="32" customFormat="false" ht="26.85" hidden="false" customHeight="false" outlineLevel="0" collapsed="false">
      <c r="A32" s="8"/>
      <c r="B32" s="8" t="s">
        <v>169</v>
      </c>
      <c r="C32" s="9" t="s">
        <v>42</v>
      </c>
      <c r="D32" s="10" t="s">
        <v>170</v>
      </c>
      <c r="E32" s="10" t="s">
        <v>148</v>
      </c>
      <c r="F32" s="10" t="s">
        <v>148</v>
      </c>
    </row>
    <row r="34" customFormat="false" ht="15" hidden="false" customHeight="false" outlineLevel="0" collapsed="false">
      <c r="A34" s="12" t="s">
        <v>81</v>
      </c>
    </row>
    <row r="35" customFormat="false" ht="15" hidden="false" customHeight="false" outlineLevel="0" collapsed="false">
      <c r="A35" s="13" t="s">
        <v>171</v>
      </c>
    </row>
    <row r="36" customFormat="false" ht="15" hidden="false" customHeight="false" outlineLevel="0" collapsed="false">
      <c r="A36" s="13" t="s">
        <v>172</v>
      </c>
    </row>
    <row r="37" customFormat="false" ht="15" hidden="false" customHeight="false" outlineLevel="0" collapsed="false">
      <c r="A37" s="13" t="s">
        <v>173</v>
      </c>
    </row>
    <row r="38" customFormat="false" ht="15" hidden="false" customHeight="false" outlineLevel="0" collapsed="false">
      <c r="A38" s="13" t="s">
        <v>174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0" topLeftCell="C11" activePane="bottomRight" state="frozen"/>
      <selection pane="topLeft" activeCell="A1" activeCellId="0" sqref="A1"/>
      <selection pane="topRight" activeCell="C1" activeCellId="0" sqref="C1"/>
      <selection pane="bottomLeft" activeCell="A11" activeCellId="0" sqref="A11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7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8" min="6" style="0" width="11"/>
    <col collapsed="false" customWidth="true" hidden="false" outlineLevel="0" max="9" min="9" style="0" width="13"/>
  </cols>
  <sheetData>
    <row r="1" customFormat="false" ht="19.4" hidden="false" customHeight="false" outlineLevel="0" collapsed="false">
      <c r="A1" s="1" t="s">
        <v>175</v>
      </c>
    </row>
    <row r="2" customFormat="false" ht="15" hidden="false" customHeight="false" outlineLevel="0" collapsed="false">
      <c r="A2" s="2" t="s">
        <v>176</v>
      </c>
    </row>
    <row r="4" customFormat="false" ht="15" hidden="false" customHeight="false" outlineLevel="0" collapsed="false">
      <c r="A4" s="12" t="s">
        <v>177</v>
      </c>
    </row>
    <row r="5" customFormat="false" ht="15" hidden="false" customHeight="false" outlineLevel="0" collapsed="false">
      <c r="A5" s="16" t="s">
        <v>178</v>
      </c>
      <c r="B5" s="17" t="n">
        <v>0.6</v>
      </c>
      <c r="C5" s="2" t="s">
        <v>179</v>
      </c>
      <c r="D5" s="2" t="s">
        <v>180</v>
      </c>
    </row>
    <row r="6" customFormat="false" ht="15" hidden="false" customHeight="false" outlineLevel="0" collapsed="false">
      <c r="A6" s="16" t="s">
        <v>181</v>
      </c>
      <c r="B6" s="17" t="n">
        <v>7</v>
      </c>
      <c r="C6" s="2" t="s">
        <v>179</v>
      </c>
      <c r="D6" s="2" t="s">
        <v>182</v>
      </c>
    </row>
    <row r="7" customFormat="false" ht="15" hidden="false" customHeight="false" outlineLevel="0" collapsed="false">
      <c r="A7" s="16" t="s">
        <v>183</v>
      </c>
      <c r="B7" s="17" t="n">
        <v>0</v>
      </c>
      <c r="C7" s="2" t="s">
        <v>179</v>
      </c>
      <c r="D7" s="2" t="s">
        <v>184</v>
      </c>
    </row>
    <row r="8" customFormat="false" ht="15" hidden="false" customHeight="false" outlineLevel="0" collapsed="false">
      <c r="A8" s="16" t="s">
        <v>185</v>
      </c>
      <c r="B8" s="17" t="n">
        <v>0</v>
      </c>
      <c r="C8" s="2" t="s">
        <v>179</v>
      </c>
      <c r="D8" s="2" t="s">
        <v>186</v>
      </c>
    </row>
    <row r="10" customFormat="false" ht="31.5" hidden="false" customHeight="true" outlineLevel="0" collapsed="false">
      <c r="A10" s="3" t="s">
        <v>187</v>
      </c>
      <c r="B10" s="3" t="s">
        <v>188</v>
      </c>
      <c r="C10" s="3" t="s">
        <v>189</v>
      </c>
      <c r="D10" s="3" t="s">
        <v>142</v>
      </c>
      <c r="E10" s="3" t="s">
        <v>190</v>
      </c>
      <c r="F10" s="3" t="s">
        <v>191</v>
      </c>
      <c r="G10" s="3" t="s">
        <v>192</v>
      </c>
      <c r="H10" s="3" t="s">
        <v>193</v>
      </c>
      <c r="I10" s="3" t="s">
        <v>194</v>
      </c>
    </row>
    <row r="11" customFormat="false" ht="15" hidden="false" customHeight="false" outlineLevel="0" collapsed="false">
      <c r="A11" s="18" t="s">
        <v>4</v>
      </c>
      <c r="B11" s="19" t="s">
        <v>195</v>
      </c>
      <c r="C11" s="20" t="n">
        <v>20</v>
      </c>
      <c r="D11" s="20" t="n">
        <v>21</v>
      </c>
      <c r="E11" s="20" t="n">
        <v>22</v>
      </c>
      <c r="F11" s="21" t="n">
        <f aca="false">C11*$B$5</f>
        <v>12</v>
      </c>
      <c r="G11" s="21" t="n">
        <f aca="false">D11*$B$5</f>
        <v>12.6</v>
      </c>
      <c r="H11" s="21" t="n">
        <f aca="false">E11*$B$5</f>
        <v>13.2</v>
      </c>
      <c r="I11" s="22" t="n">
        <f aca="false">IF(C11=0,"",E11/C11-1)</f>
        <v>0.1</v>
      </c>
    </row>
    <row r="12" customFormat="false" ht="15" hidden="false" customHeight="false" outlineLevel="0" collapsed="false">
      <c r="A12" s="18" t="s">
        <v>4</v>
      </c>
      <c r="B12" s="19" t="s">
        <v>196</v>
      </c>
      <c r="C12" s="20" t="n">
        <v>12</v>
      </c>
      <c r="D12" s="20" t="n">
        <v>13</v>
      </c>
      <c r="E12" s="20" t="n">
        <v>14</v>
      </c>
      <c r="F12" s="21" t="n">
        <f aca="false">C12*$B$5</f>
        <v>7.2</v>
      </c>
      <c r="G12" s="21" t="n">
        <f aca="false">D12*$B$5</f>
        <v>7.8</v>
      </c>
      <c r="H12" s="21" t="n">
        <f aca="false">E12*$B$5</f>
        <v>8.4</v>
      </c>
      <c r="I12" s="22" t="n">
        <f aca="false">IF(C12=0,"",E12/C12-1)</f>
        <v>0.166666666666667</v>
      </c>
    </row>
    <row r="13" customFormat="false" ht="15" hidden="false" customHeight="false" outlineLevel="0" collapsed="false">
      <c r="A13" s="18" t="s">
        <v>4</v>
      </c>
      <c r="B13" s="19" t="s">
        <v>197</v>
      </c>
      <c r="C13" s="20" t="n">
        <v>10</v>
      </c>
      <c r="D13" s="20" t="n">
        <v>11</v>
      </c>
      <c r="E13" s="20" t="n">
        <v>12</v>
      </c>
      <c r="F13" s="21" t="n">
        <f aca="false">C13*$B$5</f>
        <v>6</v>
      </c>
      <c r="G13" s="21" t="n">
        <f aca="false">D13*$B$5</f>
        <v>6.6</v>
      </c>
      <c r="H13" s="21" t="n">
        <f aca="false">E13*$B$5</f>
        <v>7.2</v>
      </c>
      <c r="I13" s="22" t="n">
        <f aca="false">IF(C13=0,"",E13/C13-1)</f>
        <v>0.2</v>
      </c>
    </row>
    <row r="14" customFormat="false" ht="15" hidden="false" customHeight="false" outlineLevel="0" collapsed="false">
      <c r="A14" s="18" t="s">
        <v>4</v>
      </c>
      <c r="B14" s="19" t="s">
        <v>198</v>
      </c>
      <c r="C14" s="20" t="n">
        <v>10</v>
      </c>
      <c r="D14" s="20" t="n">
        <v>11</v>
      </c>
      <c r="E14" s="20" t="n">
        <v>12</v>
      </c>
      <c r="F14" s="21" t="n">
        <f aca="false">C14*$B$5</f>
        <v>6</v>
      </c>
      <c r="G14" s="21" t="n">
        <f aca="false">D14*$B$5</f>
        <v>6.6</v>
      </c>
      <c r="H14" s="21" t="n">
        <f aca="false">E14*$B$5</f>
        <v>7.2</v>
      </c>
      <c r="I14" s="22" t="n">
        <f aca="false">IF(C14=0,"",E14/C14-1)</f>
        <v>0.2</v>
      </c>
    </row>
    <row r="15" customFormat="false" ht="15" hidden="false" customHeight="false" outlineLevel="0" collapsed="false">
      <c r="A15" s="18" t="s">
        <v>4</v>
      </c>
      <c r="B15" s="19" t="s">
        <v>199</v>
      </c>
      <c r="C15" s="20" t="n">
        <v>8</v>
      </c>
      <c r="D15" s="20" t="n">
        <v>9</v>
      </c>
      <c r="E15" s="20" t="n">
        <v>10</v>
      </c>
      <c r="F15" s="21" t="n">
        <f aca="false">C15*$B$5</f>
        <v>4.8</v>
      </c>
      <c r="G15" s="21" t="n">
        <f aca="false">D15*$B$5</f>
        <v>5.4</v>
      </c>
      <c r="H15" s="21" t="n">
        <f aca="false">E15*$B$5</f>
        <v>6</v>
      </c>
      <c r="I15" s="22" t="n">
        <f aca="false">IF(C15=0,"",E15/C15-1)</f>
        <v>0.25</v>
      </c>
    </row>
    <row r="16" customFormat="false" ht="15" hidden="false" customHeight="false" outlineLevel="0" collapsed="false">
      <c r="A16" s="18" t="s">
        <v>4</v>
      </c>
      <c r="B16" s="19" t="s">
        <v>200</v>
      </c>
      <c r="C16" s="20" t="n">
        <v>6</v>
      </c>
      <c r="D16" s="20" t="n">
        <v>7</v>
      </c>
      <c r="E16" s="20" t="n">
        <v>8</v>
      </c>
      <c r="F16" s="21" t="n">
        <f aca="false">C16*$B$5</f>
        <v>3.6</v>
      </c>
      <c r="G16" s="21" t="n">
        <f aca="false">D16*$B$5</f>
        <v>4.2</v>
      </c>
      <c r="H16" s="21" t="n">
        <f aca="false">E16*$B$5</f>
        <v>4.8</v>
      </c>
      <c r="I16" s="22" t="n">
        <f aca="false">IF(C16=0,"",E16/C16-1)</f>
        <v>0.333333333333333</v>
      </c>
    </row>
    <row r="17" customFormat="false" ht="15" hidden="false" customHeight="false" outlineLevel="0" collapsed="false">
      <c r="A17" s="18" t="s">
        <v>4</v>
      </c>
      <c r="B17" s="19" t="s">
        <v>201</v>
      </c>
      <c r="C17" s="20" t="n">
        <v>5</v>
      </c>
      <c r="D17" s="20" t="n">
        <v>6</v>
      </c>
      <c r="E17" s="20" t="n">
        <v>7</v>
      </c>
      <c r="F17" s="21" t="n">
        <f aca="false">C17*$B$5</f>
        <v>3</v>
      </c>
      <c r="G17" s="21" t="n">
        <f aca="false">D17*$B$5</f>
        <v>3.6</v>
      </c>
      <c r="H17" s="21" t="n">
        <f aca="false">E17*$B$5</f>
        <v>4.2</v>
      </c>
      <c r="I17" s="22" t="n">
        <f aca="false">IF(C17=0,"",E17/C17-1)</f>
        <v>0.4</v>
      </c>
    </row>
    <row r="18" customFormat="false" ht="15" hidden="false" customHeight="false" outlineLevel="0" collapsed="false">
      <c r="A18" s="18" t="s">
        <v>4</v>
      </c>
      <c r="B18" s="19" t="s">
        <v>202</v>
      </c>
      <c r="C18" s="20" t="n">
        <v>4</v>
      </c>
      <c r="D18" s="20" t="n">
        <v>5</v>
      </c>
      <c r="E18" s="20" t="n">
        <v>6</v>
      </c>
      <c r="F18" s="21" t="n">
        <f aca="false">C18*$B$5</f>
        <v>2.4</v>
      </c>
      <c r="G18" s="21" t="n">
        <f aca="false">D18*$B$5</f>
        <v>3</v>
      </c>
      <c r="H18" s="21" t="n">
        <f aca="false">E18*$B$5</f>
        <v>3.6</v>
      </c>
      <c r="I18" s="22" t="n">
        <f aca="false">IF(C18=0,"",E18/C18-1)</f>
        <v>0.5</v>
      </c>
    </row>
    <row r="19" customFormat="false" ht="15" hidden="false" customHeight="false" outlineLevel="0" collapsed="false">
      <c r="A19" s="18" t="s">
        <v>4</v>
      </c>
      <c r="B19" s="19" t="s">
        <v>203</v>
      </c>
      <c r="C19" s="20" t="n">
        <v>4</v>
      </c>
      <c r="D19" s="20" t="n">
        <v>4</v>
      </c>
      <c r="E19" s="20" t="n">
        <v>4</v>
      </c>
      <c r="F19" s="21" t="n">
        <f aca="false">C19*$B$5</f>
        <v>2.4</v>
      </c>
      <c r="G19" s="21" t="n">
        <f aca="false">D19*$B$5</f>
        <v>2.4</v>
      </c>
      <c r="H19" s="21" t="n">
        <f aca="false">E19*$B$5</f>
        <v>2.4</v>
      </c>
      <c r="I19" s="22" t="n">
        <f aca="false">IF(C19=0,"",E19/C19-1)</f>
        <v>0</v>
      </c>
    </row>
    <row r="20" customFormat="false" ht="15" hidden="false" customHeight="false" outlineLevel="0" collapsed="false">
      <c r="A20" s="18" t="s">
        <v>4</v>
      </c>
      <c r="B20" s="19" t="s">
        <v>204</v>
      </c>
      <c r="C20" s="20" t="n">
        <v>3</v>
      </c>
      <c r="D20" s="20" t="n">
        <v>4</v>
      </c>
      <c r="E20" s="20" t="n">
        <v>5</v>
      </c>
      <c r="F20" s="21" t="n">
        <f aca="false">C20*$B$5</f>
        <v>1.8</v>
      </c>
      <c r="G20" s="21" t="n">
        <f aca="false">D20*$B$5</f>
        <v>2.4</v>
      </c>
      <c r="H20" s="21" t="n">
        <f aca="false">E20*$B$5</f>
        <v>3</v>
      </c>
      <c r="I20" s="22" t="n">
        <f aca="false">IF(C20=0,"",E20/C20-1)</f>
        <v>0.666666666666667</v>
      </c>
    </row>
    <row r="21" customFormat="false" ht="15" hidden="false" customHeight="false" outlineLevel="0" collapsed="false">
      <c r="A21" s="18" t="s">
        <v>4</v>
      </c>
      <c r="B21" s="19" t="s">
        <v>205</v>
      </c>
      <c r="C21" s="20" t="n">
        <v>3</v>
      </c>
      <c r="D21" s="20" t="n">
        <v>3</v>
      </c>
      <c r="E21" s="20" t="n">
        <v>3</v>
      </c>
      <c r="F21" s="21" t="n">
        <f aca="false">C21*$B$5</f>
        <v>1.8</v>
      </c>
      <c r="G21" s="21" t="n">
        <f aca="false">D21*$B$5</f>
        <v>1.8</v>
      </c>
      <c r="H21" s="21" t="n">
        <f aca="false">E21*$B$5</f>
        <v>1.8</v>
      </c>
      <c r="I21" s="22" t="n">
        <f aca="false">IF(C21=0,"",E21/C21-1)</f>
        <v>0</v>
      </c>
    </row>
    <row r="22" customFormat="false" ht="15" hidden="false" customHeight="false" outlineLevel="0" collapsed="false">
      <c r="A22" s="18" t="s">
        <v>4</v>
      </c>
      <c r="B22" s="19" t="s">
        <v>206</v>
      </c>
      <c r="C22" s="20" t="n">
        <v>2</v>
      </c>
      <c r="D22" s="20" t="n">
        <v>2</v>
      </c>
      <c r="E22" s="20" t="n">
        <v>3</v>
      </c>
      <c r="F22" s="21" t="n">
        <f aca="false">C22*$B$5</f>
        <v>1.2</v>
      </c>
      <c r="G22" s="21" t="n">
        <f aca="false">D22*$B$5</f>
        <v>1.2</v>
      </c>
      <c r="H22" s="21" t="n">
        <f aca="false">E22*$B$5</f>
        <v>1.8</v>
      </c>
      <c r="I22" s="22" t="n">
        <f aca="false">IF(C22=0,"",E22/C22-1)</f>
        <v>0.5</v>
      </c>
    </row>
    <row r="23" customFormat="false" ht="15" hidden="false" customHeight="false" outlineLevel="0" collapsed="false">
      <c r="A23" s="18" t="s">
        <v>4</v>
      </c>
      <c r="B23" s="19" t="s">
        <v>207</v>
      </c>
      <c r="C23" s="20" t="n">
        <v>2</v>
      </c>
      <c r="D23" s="20" t="n">
        <v>3</v>
      </c>
      <c r="E23" s="20" t="n">
        <v>3</v>
      </c>
      <c r="F23" s="21" t="n">
        <f aca="false">C23*$B$5</f>
        <v>1.2</v>
      </c>
      <c r="G23" s="21" t="n">
        <f aca="false">D23*$B$5</f>
        <v>1.8</v>
      </c>
      <c r="H23" s="21" t="n">
        <f aca="false">E23*$B$5</f>
        <v>1.8</v>
      </c>
      <c r="I23" s="22" t="n">
        <f aca="false">IF(C23=0,"",E23/C23-1)</f>
        <v>0.5</v>
      </c>
    </row>
    <row r="24" customFormat="false" ht="15" hidden="false" customHeight="false" outlineLevel="0" collapsed="false">
      <c r="A24" s="18" t="s">
        <v>4</v>
      </c>
      <c r="B24" s="19" t="s">
        <v>208</v>
      </c>
      <c r="C24" s="20" t="n">
        <v>2</v>
      </c>
      <c r="D24" s="20" t="n">
        <v>3</v>
      </c>
      <c r="E24" s="20" t="n">
        <v>4</v>
      </c>
      <c r="F24" s="21" t="n">
        <f aca="false">C24*$B$5</f>
        <v>1.2</v>
      </c>
      <c r="G24" s="21" t="n">
        <f aca="false">D24*$B$5</f>
        <v>1.8</v>
      </c>
      <c r="H24" s="21" t="n">
        <f aca="false">E24*$B$5</f>
        <v>2.4</v>
      </c>
      <c r="I24" s="22" t="n">
        <f aca="false">IF(C24=0,"",E24/C24-1)</f>
        <v>1</v>
      </c>
    </row>
    <row r="25" customFormat="false" ht="15" hidden="false" customHeight="false" outlineLevel="0" collapsed="false">
      <c r="A25" s="18" t="s">
        <v>4</v>
      </c>
      <c r="B25" s="19" t="s">
        <v>209</v>
      </c>
      <c r="C25" s="20" t="n">
        <v>2</v>
      </c>
      <c r="D25" s="20" t="n">
        <v>2</v>
      </c>
      <c r="E25" s="20" t="n">
        <v>2</v>
      </c>
      <c r="F25" s="21" t="n">
        <f aca="false">C25*$B$5</f>
        <v>1.2</v>
      </c>
      <c r="G25" s="21" t="n">
        <f aca="false">D25*$B$5</f>
        <v>1.2</v>
      </c>
      <c r="H25" s="21" t="n">
        <f aca="false">E25*$B$5</f>
        <v>1.2</v>
      </c>
      <c r="I25" s="22" t="n">
        <f aca="false">IF(C25=0,"",E25/C25-1)</f>
        <v>0</v>
      </c>
    </row>
    <row r="26" customFormat="false" ht="15" hidden="false" customHeight="false" outlineLevel="0" collapsed="false">
      <c r="A26" s="18" t="s">
        <v>4</v>
      </c>
      <c r="B26" s="19" t="s">
        <v>210</v>
      </c>
      <c r="C26" s="20" t="n">
        <v>1</v>
      </c>
      <c r="D26" s="20" t="n">
        <v>1</v>
      </c>
      <c r="E26" s="20" t="n">
        <v>1</v>
      </c>
      <c r="F26" s="21" t="n">
        <f aca="false">C26*$B$5</f>
        <v>0.6</v>
      </c>
      <c r="G26" s="21" t="n">
        <f aca="false">D26*$B$5</f>
        <v>0.6</v>
      </c>
      <c r="H26" s="21" t="n">
        <f aca="false">E26*$B$5</f>
        <v>0.6</v>
      </c>
      <c r="I26" s="22" t="n">
        <f aca="false">IF(C26=0,"",E26/C26-1)</f>
        <v>0</v>
      </c>
    </row>
    <row r="27" customFormat="false" ht="15" hidden="false" customHeight="false" outlineLevel="0" collapsed="false">
      <c r="A27" s="18" t="s">
        <v>6</v>
      </c>
      <c r="B27" s="19" t="s">
        <v>211</v>
      </c>
      <c r="C27" s="20" t="n">
        <v>3</v>
      </c>
      <c r="D27" s="23" t="s">
        <v>148</v>
      </c>
      <c r="E27" s="20" t="n">
        <v>3</v>
      </c>
      <c r="F27" s="21" t="n">
        <f aca="false">C27*$B$6</f>
        <v>21</v>
      </c>
      <c r="G27" s="21" t="s">
        <v>148</v>
      </c>
      <c r="H27" s="21" t="n">
        <f aca="false">E27*$B$6</f>
        <v>21</v>
      </c>
      <c r="I27" s="22" t="n">
        <f aca="false">IF(C27=0,"",E27/C27-1)</f>
        <v>0</v>
      </c>
    </row>
    <row r="28" customFormat="false" ht="15" hidden="false" customHeight="false" outlineLevel="0" collapsed="false">
      <c r="A28" s="18" t="s">
        <v>6</v>
      </c>
      <c r="B28" s="19" t="s">
        <v>212</v>
      </c>
      <c r="C28" s="20" t="n">
        <v>3</v>
      </c>
      <c r="D28" s="23" t="s">
        <v>148</v>
      </c>
      <c r="E28" s="20" t="n">
        <v>3</v>
      </c>
      <c r="F28" s="21" t="n">
        <f aca="false">C28*$B$6</f>
        <v>21</v>
      </c>
      <c r="G28" s="21" t="s">
        <v>148</v>
      </c>
      <c r="H28" s="21" t="n">
        <f aca="false">E28*$B$6</f>
        <v>21</v>
      </c>
      <c r="I28" s="22" t="n">
        <f aca="false">IF(C28=0,"",E28/C28-1)</f>
        <v>0</v>
      </c>
    </row>
    <row r="29" customFormat="false" ht="15" hidden="false" customHeight="false" outlineLevel="0" collapsed="false">
      <c r="A29" s="18" t="s">
        <v>6</v>
      </c>
      <c r="B29" s="19" t="s">
        <v>213</v>
      </c>
      <c r="C29" s="20" t="n">
        <v>2</v>
      </c>
      <c r="D29" s="23" t="s">
        <v>148</v>
      </c>
      <c r="E29" s="20" t="n">
        <v>2</v>
      </c>
      <c r="F29" s="21" t="n">
        <f aca="false">C29*$B$6</f>
        <v>14</v>
      </c>
      <c r="G29" s="21" t="s">
        <v>148</v>
      </c>
      <c r="H29" s="21" t="n">
        <f aca="false">E29*$B$6</f>
        <v>14</v>
      </c>
      <c r="I29" s="22" t="n">
        <f aca="false">IF(C29=0,"",E29/C29-1)</f>
        <v>0</v>
      </c>
    </row>
    <row r="30" customFormat="false" ht="15" hidden="false" customHeight="false" outlineLevel="0" collapsed="false">
      <c r="A30" s="18" t="s">
        <v>6</v>
      </c>
      <c r="B30" s="19" t="s">
        <v>214</v>
      </c>
      <c r="C30" s="20" t="n">
        <v>0.6</v>
      </c>
      <c r="D30" s="23" t="s">
        <v>148</v>
      </c>
      <c r="E30" s="20" t="n">
        <v>0.6</v>
      </c>
      <c r="F30" s="21" t="n">
        <f aca="false">C30*$B$6</f>
        <v>4.2</v>
      </c>
      <c r="G30" s="21" t="s">
        <v>148</v>
      </c>
      <c r="H30" s="21" t="n">
        <f aca="false">E30*$B$6</f>
        <v>4.2</v>
      </c>
      <c r="I30" s="22" t="n">
        <f aca="false">IF(C30=0,"",E30/C30-1)</f>
        <v>0</v>
      </c>
    </row>
    <row r="31" customFormat="false" ht="15" hidden="false" customHeight="false" outlineLevel="0" collapsed="false">
      <c r="A31" s="24" t="s">
        <v>5</v>
      </c>
      <c r="B31" s="25" t="s">
        <v>215</v>
      </c>
      <c r="C31" s="26" t="s">
        <v>148</v>
      </c>
      <c r="D31" s="26" t="s">
        <v>148</v>
      </c>
      <c r="E31" s="26" t="s">
        <v>148</v>
      </c>
      <c r="F31" s="27" t="n">
        <v>0</v>
      </c>
      <c r="G31" s="27" t="n">
        <v>0</v>
      </c>
      <c r="H31" s="27" t="n">
        <v>0</v>
      </c>
      <c r="I31" s="28" t="s">
        <v>148</v>
      </c>
    </row>
    <row r="32" customFormat="false" ht="15" hidden="false" customHeight="false" outlineLevel="0" collapsed="false">
      <c r="A32" s="24" t="s">
        <v>7</v>
      </c>
      <c r="B32" s="25" t="s">
        <v>216</v>
      </c>
      <c r="C32" s="26" t="s">
        <v>148</v>
      </c>
      <c r="D32" s="26" t="s">
        <v>148</v>
      </c>
      <c r="E32" s="26" t="s">
        <v>148</v>
      </c>
      <c r="F32" s="27" t="n">
        <v>0</v>
      </c>
      <c r="G32" s="27" t="n">
        <v>0</v>
      </c>
      <c r="H32" s="27" t="n">
        <v>0</v>
      </c>
      <c r="I32" s="28" t="s">
        <v>148</v>
      </c>
    </row>
    <row r="34" customFormat="false" ht="15" hidden="false" customHeight="false" outlineLevel="0" collapsed="false">
      <c r="A34" s="12" t="s">
        <v>217</v>
      </c>
    </row>
    <row r="35" customFormat="false" ht="15" hidden="false" customHeight="false" outlineLevel="0" collapsed="false">
      <c r="A35" s="13" t="s">
        <v>218</v>
      </c>
    </row>
    <row r="36" customFormat="false" ht="15" hidden="false" customHeight="false" outlineLevel="0" collapsed="false">
      <c r="A36" s="13" t="s">
        <v>219</v>
      </c>
    </row>
    <row r="37" customFormat="false" ht="15" hidden="false" customHeight="false" outlineLevel="0" collapsed="false">
      <c r="A37" s="13" t="s">
        <v>220</v>
      </c>
    </row>
    <row r="38" customFormat="false" ht="15" hidden="false" customHeight="false" outlineLevel="0" collapsed="false">
      <c r="A38" s="13" t="s">
        <v>221</v>
      </c>
    </row>
    <row r="40" customFormat="false" ht="15" hidden="false" customHeight="false" outlineLevel="0" collapsed="false">
      <c r="A40" s="12" t="s">
        <v>222</v>
      </c>
    </row>
    <row r="41" customFormat="false" ht="15" hidden="false" customHeight="false" outlineLevel="0" collapsed="false">
      <c r="A41" s="13" t="s">
        <v>223</v>
      </c>
    </row>
    <row r="42" customFormat="false" ht="15" hidden="false" customHeight="false" outlineLevel="0" collapsed="false">
      <c r="A42" s="13" t="s">
        <v>224</v>
      </c>
    </row>
    <row r="43" customFormat="false" ht="15" hidden="false" customHeight="false" outlineLevel="0" collapsed="false">
      <c r="A43" s="13" t="s">
        <v>225</v>
      </c>
    </row>
    <row r="44" customFormat="false" ht="15" hidden="false" customHeight="false" outlineLevel="0" collapsed="false">
      <c r="A44" s="13" t="s">
        <v>226</v>
      </c>
    </row>
    <row r="45" customFormat="false" ht="15" hidden="false" customHeight="false" outlineLevel="0" collapsed="false">
      <c r="A45" s="13" t="s">
        <v>227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7"/>
    <col collapsed="false" customWidth="true" hidden="false" outlineLevel="0" max="3" min="3" style="0" width="19"/>
    <col collapsed="false" customWidth="true" hidden="false" outlineLevel="0" max="4" min="4" style="0" width="17"/>
    <col collapsed="false" customWidth="true" hidden="false" outlineLevel="0" max="5" min="5" style="0" width="19"/>
    <col collapsed="false" customWidth="true" hidden="false" outlineLevel="0" max="6" min="6" style="0" width="24"/>
  </cols>
  <sheetData>
    <row r="1" customFormat="false" ht="19.4" hidden="false" customHeight="false" outlineLevel="0" collapsed="false">
      <c r="A1" s="1" t="s">
        <v>228</v>
      </c>
    </row>
    <row r="3" customFormat="false" ht="15" hidden="false" customHeight="false" outlineLevel="0" collapsed="false">
      <c r="A3" s="29" t="s">
        <v>229</v>
      </c>
    </row>
    <row r="4" customFormat="false" ht="15" hidden="false" customHeight="false" outlineLevel="0" collapsed="false">
      <c r="A4" s="30" t="s">
        <v>230</v>
      </c>
    </row>
    <row r="5" customFormat="false" ht="15" hidden="false" customHeight="false" outlineLevel="0" collapsed="false">
      <c r="A5" s="12" t="s">
        <v>231</v>
      </c>
      <c r="B5" s="31" t="n">
        <v>10</v>
      </c>
      <c r="C5" s="30" t="s">
        <v>232</v>
      </c>
    </row>
    <row r="7" customFormat="false" ht="15" hidden="false" customHeight="false" outlineLevel="0" collapsed="false">
      <c r="A7" s="3" t="s">
        <v>3</v>
      </c>
      <c r="B7" s="3" t="s">
        <v>233</v>
      </c>
      <c r="C7" s="3" t="s">
        <v>234</v>
      </c>
      <c r="D7" s="3" t="s">
        <v>235</v>
      </c>
      <c r="E7" s="3" t="s">
        <v>236</v>
      </c>
      <c r="F7" s="3" t="s">
        <v>237</v>
      </c>
    </row>
    <row r="8" customFormat="false" ht="15" hidden="false" customHeight="false" outlineLevel="0" collapsed="false">
      <c r="A8" s="10" t="s">
        <v>238</v>
      </c>
      <c r="B8" s="32" t="n">
        <v>1</v>
      </c>
      <c r="C8" s="32" t="n">
        <v>2</v>
      </c>
      <c r="D8" s="32" t="n">
        <v>2</v>
      </c>
      <c r="E8" s="32" t="n">
        <v>3</v>
      </c>
      <c r="F8" s="32" t="n">
        <v>5</v>
      </c>
    </row>
    <row r="9" customFormat="false" ht="15" hidden="false" customHeight="false" outlineLevel="0" collapsed="false">
      <c r="A9" s="10" t="s">
        <v>239</v>
      </c>
      <c r="B9" s="33" t="n">
        <v>1000</v>
      </c>
      <c r="C9" s="33" t="n">
        <v>100000</v>
      </c>
      <c r="D9" s="33" t="n">
        <v>500000</v>
      </c>
      <c r="E9" s="33" t="n">
        <v>3000000</v>
      </c>
      <c r="F9" s="33" t="n">
        <v>5000000</v>
      </c>
    </row>
    <row r="10" customFormat="false" ht="15" hidden="false" customHeight="false" outlineLevel="0" collapsed="false">
      <c r="A10" s="10" t="s">
        <v>240</v>
      </c>
      <c r="B10" s="33" t="n">
        <v>10</v>
      </c>
      <c r="C10" s="33" t="n">
        <v>100</v>
      </c>
      <c r="D10" s="33" t="n">
        <v>200</v>
      </c>
      <c r="E10" s="33" t="n">
        <v>500</v>
      </c>
      <c r="F10" s="33" t="n">
        <v>1000</v>
      </c>
    </row>
    <row r="11" customFormat="false" ht="15" hidden="false" customHeight="false" outlineLevel="0" collapsed="false">
      <c r="A11" s="10" t="s">
        <v>241</v>
      </c>
      <c r="B11" s="34" t="n">
        <v>0.7</v>
      </c>
      <c r="C11" s="34" t="n">
        <v>0.75</v>
      </c>
      <c r="D11" s="34" t="n">
        <v>0.8</v>
      </c>
      <c r="E11" s="34" t="n">
        <v>0.85</v>
      </c>
      <c r="F11" s="34" t="n">
        <v>0.9</v>
      </c>
    </row>
    <row r="12" customFormat="false" ht="15" hidden="false" customHeight="false" outlineLevel="0" collapsed="false">
      <c r="A12" s="10" t="s">
        <v>242</v>
      </c>
      <c r="B12" s="34" t="n">
        <v>0.1</v>
      </c>
      <c r="C12" s="34" t="n">
        <v>0.1</v>
      </c>
      <c r="D12" s="34" t="n">
        <v>0.11</v>
      </c>
      <c r="E12" s="34" t="n">
        <v>0.12</v>
      </c>
      <c r="F12" s="34" t="n">
        <v>0.13</v>
      </c>
    </row>
    <row r="13" customFormat="false" ht="15" hidden="false" customHeight="false" outlineLevel="0" collapsed="false">
      <c r="A13" s="10" t="s">
        <v>243</v>
      </c>
      <c r="B13" s="34" t="n">
        <v>0.11</v>
      </c>
      <c r="C13" s="34" t="n">
        <v>0.11</v>
      </c>
      <c r="D13" s="34" t="n">
        <v>0.14</v>
      </c>
      <c r="E13" s="34" t="n">
        <v>0.17</v>
      </c>
      <c r="F13" s="34" t="n">
        <v>0.2</v>
      </c>
    </row>
    <row r="14" customFormat="false" ht="15" hidden="false" customHeight="false" outlineLevel="0" collapsed="false">
      <c r="A14" s="35" t="s">
        <v>244</v>
      </c>
      <c r="B14" s="36" t="n">
        <f aca="false">B12/$B$5</f>
        <v>0.01</v>
      </c>
      <c r="C14" s="36" t="n">
        <f aca="false">C12/$B$5</f>
        <v>0.01</v>
      </c>
      <c r="D14" s="36" t="n">
        <f aca="false">D12/$B$5</f>
        <v>0.011</v>
      </c>
      <c r="E14" s="36" t="n">
        <f aca="false">E12/$B$5</f>
        <v>0.012</v>
      </c>
      <c r="F14" s="36" t="n">
        <f aca="false">F12/$B$5</f>
        <v>0.013</v>
      </c>
    </row>
    <row r="15" customFormat="false" ht="15" hidden="false" customHeight="false" outlineLevel="0" collapsed="false">
      <c r="A15" s="35" t="s">
        <v>245</v>
      </c>
      <c r="B15" s="36" t="n">
        <f aca="false">B13/$B$5</f>
        <v>0.011</v>
      </c>
      <c r="C15" s="36" t="n">
        <f aca="false">C13/$B$5</f>
        <v>0.011</v>
      </c>
      <c r="D15" s="36" t="n">
        <f aca="false">D13/$B$5</f>
        <v>0.014</v>
      </c>
      <c r="E15" s="36" t="n">
        <f aca="false">E13/$B$5</f>
        <v>0.017</v>
      </c>
      <c r="F15" s="36" t="n">
        <f aca="false">F13/$B$5</f>
        <v>0.02</v>
      </c>
    </row>
    <row r="16" customFormat="false" ht="15" hidden="false" customHeight="false" outlineLevel="0" collapsed="false">
      <c r="A16" s="35" t="s">
        <v>246</v>
      </c>
      <c r="B16" s="36" t="n">
        <f aca="false">(B13+0.03)/$B$5</f>
        <v>0.014</v>
      </c>
      <c r="C16" s="36" t="n">
        <f aca="false">(C13+0.03)/$B$5</f>
        <v>0.014</v>
      </c>
      <c r="D16" s="36" t="n">
        <f aca="false">(D13+0.03)/$B$5</f>
        <v>0.017</v>
      </c>
      <c r="E16" s="36" t="n">
        <f aca="false">(E13+0.03)/$B$5</f>
        <v>0.02</v>
      </c>
      <c r="F16" s="36" t="n">
        <f aca="false">(F13+0.03)/$B$5</f>
        <v>0.023</v>
      </c>
    </row>
    <row r="17" customFormat="false" ht="15" hidden="false" customHeight="false" outlineLevel="0" collapsed="false">
      <c r="A17" s="10" t="s">
        <v>247</v>
      </c>
      <c r="B17" s="37" t="s">
        <v>148</v>
      </c>
      <c r="C17" s="37" t="n">
        <v>10000</v>
      </c>
      <c r="D17" s="37" t="n">
        <v>50000</v>
      </c>
      <c r="E17" s="37" t="n">
        <v>300000</v>
      </c>
      <c r="F17" s="37" t="n">
        <v>500000</v>
      </c>
    </row>
    <row r="20" customFormat="false" ht="15" hidden="false" customHeight="false" outlineLevel="0" collapsed="false">
      <c r="A20" s="12" t="s">
        <v>248</v>
      </c>
    </row>
    <row r="22" customFormat="false" ht="15" hidden="false" customHeight="false" outlineLevel="0" collapsed="false">
      <c r="A22" s="29" t="s">
        <v>249</v>
      </c>
    </row>
    <row r="23" customFormat="false" ht="15" hidden="false" customHeight="false" outlineLevel="0" collapsed="false">
      <c r="A23" s="2" t="s">
        <v>250</v>
      </c>
    </row>
    <row r="25" customFormat="false" ht="15" hidden="false" customHeight="false" outlineLevel="0" collapsed="false">
      <c r="A25" s="14" t="s">
        <v>3</v>
      </c>
      <c r="B25" s="14" t="s">
        <v>251</v>
      </c>
      <c r="C25" s="14" t="s">
        <v>252</v>
      </c>
      <c r="D25" s="14" t="s">
        <v>253</v>
      </c>
      <c r="E25" s="14" t="s">
        <v>254</v>
      </c>
      <c r="F25" s="14" t="s">
        <v>255</v>
      </c>
    </row>
    <row r="26" customFormat="false" ht="15" hidden="false" customHeight="false" outlineLevel="0" collapsed="false">
      <c r="A26" s="8" t="s">
        <v>256</v>
      </c>
      <c r="B26" s="38" t="s">
        <v>257</v>
      </c>
      <c r="C26" s="38" t="s">
        <v>257</v>
      </c>
      <c r="D26" s="38" t="s">
        <v>258</v>
      </c>
      <c r="E26" s="38" t="s">
        <v>259</v>
      </c>
      <c r="F26" s="38" t="s">
        <v>260</v>
      </c>
    </row>
    <row r="27" customFormat="false" ht="15" hidden="false" customHeight="false" outlineLevel="0" collapsed="false">
      <c r="A27" s="39" t="s">
        <v>261</v>
      </c>
      <c r="B27" s="33" t="n">
        <v>100000</v>
      </c>
      <c r="C27" s="33" t="n">
        <v>200000</v>
      </c>
      <c r="D27" s="33" t="n">
        <v>300000</v>
      </c>
      <c r="E27" s="33" t="n">
        <v>500000</v>
      </c>
      <c r="F27" s="33" t="n">
        <v>800000</v>
      </c>
    </row>
    <row r="28" customFormat="false" ht="15" hidden="false" customHeight="false" outlineLevel="0" collapsed="false">
      <c r="A28" s="39" t="s">
        <v>262</v>
      </c>
      <c r="B28" s="33" t="n">
        <v>1</v>
      </c>
      <c r="C28" s="33" t="n">
        <v>5</v>
      </c>
      <c r="D28" s="33" t="n">
        <v>5</v>
      </c>
      <c r="E28" s="33" t="n">
        <v>5</v>
      </c>
      <c r="F28" s="33" t="n">
        <v>10</v>
      </c>
    </row>
    <row r="29" customFormat="false" ht="15" hidden="false" customHeight="false" outlineLevel="0" collapsed="false">
      <c r="A29" s="39" t="s">
        <v>263</v>
      </c>
      <c r="B29" s="33" t="n">
        <v>50</v>
      </c>
      <c r="C29" s="33" t="n">
        <v>80</v>
      </c>
      <c r="D29" s="33" t="n">
        <v>100</v>
      </c>
      <c r="E29" s="33" t="n">
        <v>200</v>
      </c>
      <c r="F29" s="33" t="n">
        <v>300</v>
      </c>
    </row>
    <row r="30" customFormat="false" ht="15" hidden="false" customHeight="false" outlineLevel="0" collapsed="false">
      <c r="A30" s="39" t="s">
        <v>264</v>
      </c>
      <c r="B30" s="38" t="s">
        <v>148</v>
      </c>
      <c r="C30" s="33" t="n">
        <v>500000</v>
      </c>
      <c r="D30" s="33" t="n">
        <v>1500000</v>
      </c>
      <c r="E30" s="33" t="n">
        <v>3000000</v>
      </c>
      <c r="F30" s="33" t="n">
        <v>4000000</v>
      </c>
    </row>
    <row r="31" customFormat="false" ht="15" hidden="false" customHeight="false" outlineLevel="0" collapsed="false">
      <c r="A31" s="39" t="s">
        <v>265</v>
      </c>
      <c r="B31" s="38" t="s">
        <v>148</v>
      </c>
      <c r="C31" s="33" t="n">
        <v>100</v>
      </c>
      <c r="D31" s="33" t="n">
        <v>200</v>
      </c>
      <c r="E31" s="33" t="n">
        <v>500</v>
      </c>
      <c r="F31" s="33" t="n">
        <v>800</v>
      </c>
    </row>
    <row r="32" customFormat="false" ht="15" hidden="false" customHeight="false" outlineLevel="0" collapsed="false">
      <c r="A32" s="40" t="s">
        <v>266</v>
      </c>
      <c r="B32" s="41" t="n">
        <v>0.9</v>
      </c>
      <c r="C32" s="41" t="n">
        <v>0.95</v>
      </c>
      <c r="D32" s="41" t="n">
        <v>0.97</v>
      </c>
      <c r="E32" s="41" t="n">
        <v>0.97</v>
      </c>
      <c r="F32" s="41" t="n">
        <v>0.97</v>
      </c>
    </row>
    <row r="33" customFormat="false" ht="15" hidden="false" customHeight="false" outlineLevel="0" collapsed="false">
      <c r="A33" s="39" t="s">
        <v>267</v>
      </c>
      <c r="B33" s="42" t="s">
        <v>268</v>
      </c>
      <c r="C33" s="42" t="s">
        <v>269</v>
      </c>
      <c r="D33" s="42" t="s">
        <v>270</v>
      </c>
      <c r="E33" s="42" t="s">
        <v>271</v>
      </c>
      <c r="F33" s="42" t="s">
        <v>271</v>
      </c>
    </row>
    <row r="34" customFormat="false" ht="15" hidden="false" customHeight="false" outlineLevel="0" collapsed="false">
      <c r="A34" s="39" t="s">
        <v>272</v>
      </c>
      <c r="B34" s="38" t="s">
        <v>273</v>
      </c>
      <c r="C34" s="38" t="s">
        <v>273</v>
      </c>
      <c r="D34" s="38" t="s">
        <v>273</v>
      </c>
      <c r="E34" s="38" t="s">
        <v>273</v>
      </c>
      <c r="F34" s="38" t="s">
        <v>273</v>
      </c>
    </row>
    <row r="35" customFormat="false" ht="15" hidden="false" customHeight="false" outlineLevel="0" collapsed="false">
      <c r="A35" s="39" t="s">
        <v>274</v>
      </c>
      <c r="B35" s="42" t="s">
        <v>275</v>
      </c>
      <c r="C35" s="42" t="s">
        <v>275</v>
      </c>
      <c r="D35" s="42" t="s">
        <v>275</v>
      </c>
      <c r="E35" s="42" t="s">
        <v>276</v>
      </c>
      <c r="F35" s="42" t="s">
        <v>276</v>
      </c>
    </row>
    <row r="36" customFormat="false" ht="15" hidden="false" customHeight="false" outlineLevel="0" collapsed="false">
      <c r="A36" s="39" t="s">
        <v>277</v>
      </c>
      <c r="B36" s="42" t="s">
        <v>278</v>
      </c>
      <c r="C36" s="42" t="s">
        <v>278</v>
      </c>
      <c r="D36" s="42" t="s">
        <v>278</v>
      </c>
      <c r="E36" s="42" t="s">
        <v>279</v>
      </c>
      <c r="F36" s="42" t="s">
        <v>279</v>
      </c>
    </row>
    <row r="37" customFormat="false" ht="15" hidden="false" customHeight="false" outlineLevel="0" collapsed="false">
      <c r="A37" s="39" t="s">
        <v>280</v>
      </c>
      <c r="B37" s="38" t="s">
        <v>148</v>
      </c>
      <c r="C37" s="38" t="s">
        <v>148</v>
      </c>
      <c r="D37" s="38" t="s">
        <v>281</v>
      </c>
      <c r="E37" s="38" t="s">
        <v>282</v>
      </c>
      <c r="F37" s="38" t="s">
        <v>283</v>
      </c>
    </row>
    <row r="38" customFormat="false" ht="15" hidden="false" customHeight="false" outlineLevel="0" collapsed="false">
      <c r="A38" s="39" t="s">
        <v>284</v>
      </c>
      <c r="B38" s="38" t="s">
        <v>148</v>
      </c>
      <c r="C38" s="38" t="s">
        <v>148</v>
      </c>
      <c r="D38" s="42" t="s">
        <v>275</v>
      </c>
      <c r="E38" s="42" t="s">
        <v>275</v>
      </c>
      <c r="F38" s="42" t="s">
        <v>275</v>
      </c>
    </row>
    <row r="39" customFormat="false" ht="15" hidden="false" customHeight="false" outlineLevel="0" collapsed="false">
      <c r="A39" s="39" t="s">
        <v>285</v>
      </c>
      <c r="B39" s="38" t="s">
        <v>148</v>
      </c>
      <c r="C39" s="38" t="s">
        <v>286</v>
      </c>
      <c r="D39" s="38" t="s">
        <v>287</v>
      </c>
      <c r="E39" s="38" t="s">
        <v>288</v>
      </c>
      <c r="F39" s="38" t="s">
        <v>289</v>
      </c>
    </row>
    <row r="40" customFormat="false" ht="15" hidden="false" customHeight="false" outlineLevel="0" collapsed="false">
      <c r="A40" s="39" t="s">
        <v>290</v>
      </c>
      <c r="B40" s="38" t="s">
        <v>148</v>
      </c>
      <c r="C40" s="42" t="s">
        <v>291</v>
      </c>
      <c r="D40" s="42" t="s">
        <v>291</v>
      </c>
      <c r="E40" s="42" t="s">
        <v>275</v>
      </c>
      <c r="F40" s="42" t="s">
        <v>275</v>
      </c>
    </row>
    <row r="41" customFormat="false" ht="15" hidden="false" customHeight="false" outlineLevel="0" collapsed="false">
      <c r="A41" s="39" t="s">
        <v>292</v>
      </c>
      <c r="B41" s="38" t="s">
        <v>148</v>
      </c>
      <c r="C41" s="38" t="s">
        <v>148</v>
      </c>
      <c r="D41" s="38" t="s">
        <v>148</v>
      </c>
      <c r="E41" s="42" t="s">
        <v>275</v>
      </c>
      <c r="F41" s="42" t="s">
        <v>275</v>
      </c>
    </row>
    <row r="42" customFormat="false" ht="15" hidden="false" customHeight="false" outlineLevel="0" collapsed="false">
      <c r="A42" s="39" t="s">
        <v>293</v>
      </c>
      <c r="B42" s="38" t="s">
        <v>148</v>
      </c>
      <c r="C42" s="42" t="s">
        <v>275</v>
      </c>
      <c r="D42" s="42" t="s">
        <v>275</v>
      </c>
      <c r="E42" s="42" t="s">
        <v>275</v>
      </c>
      <c r="F42" s="42" t="s">
        <v>275</v>
      </c>
    </row>
    <row r="43" customFormat="false" ht="15" hidden="false" customHeight="false" outlineLevel="0" collapsed="false">
      <c r="A43" s="39" t="s">
        <v>294</v>
      </c>
      <c r="B43" s="38" t="s">
        <v>148</v>
      </c>
      <c r="C43" s="38" t="s">
        <v>148</v>
      </c>
      <c r="D43" s="42" t="s">
        <v>291</v>
      </c>
      <c r="E43" s="42" t="s">
        <v>295</v>
      </c>
      <c r="F43" s="42" t="s">
        <v>295</v>
      </c>
    </row>
    <row r="44" customFormat="false" ht="15" hidden="false" customHeight="false" outlineLevel="0" collapsed="false">
      <c r="A44" s="39" t="s">
        <v>296</v>
      </c>
      <c r="B44" s="38" t="s">
        <v>148</v>
      </c>
      <c r="C44" s="38" t="s">
        <v>148</v>
      </c>
      <c r="D44" s="42" t="s">
        <v>297</v>
      </c>
      <c r="E44" s="42" t="s">
        <v>276</v>
      </c>
      <c r="F44" s="42" t="s">
        <v>276</v>
      </c>
    </row>
    <row r="45" customFormat="false" ht="15" hidden="false" customHeight="false" outlineLevel="0" collapsed="false">
      <c r="A45" s="39" t="s">
        <v>298</v>
      </c>
      <c r="B45" s="38" t="s">
        <v>148</v>
      </c>
      <c r="C45" s="38" t="s">
        <v>148</v>
      </c>
      <c r="D45" s="38" t="s">
        <v>148</v>
      </c>
      <c r="E45" s="42" t="s">
        <v>299</v>
      </c>
      <c r="F45" s="42" t="s">
        <v>300</v>
      </c>
    </row>
    <row r="46" customFormat="false" ht="15" hidden="false" customHeight="false" outlineLevel="0" collapsed="false">
      <c r="A46" s="39" t="s">
        <v>301</v>
      </c>
      <c r="B46" s="38" t="s">
        <v>302</v>
      </c>
      <c r="C46" s="38" t="s">
        <v>302</v>
      </c>
      <c r="D46" s="38" t="s">
        <v>302</v>
      </c>
      <c r="E46" s="38" t="s">
        <v>302</v>
      </c>
      <c r="F46" s="38" t="s">
        <v>302</v>
      </c>
    </row>
    <row r="48" customFormat="false" ht="15" hidden="false" customHeight="false" outlineLevel="0" collapsed="false">
      <c r="A48" s="12" t="s">
        <v>303</v>
      </c>
    </row>
    <row r="49" customFormat="false" ht="15" hidden="false" customHeight="false" outlineLevel="0" collapsed="false">
      <c r="A49" s="16" t="s">
        <v>304</v>
      </c>
    </row>
    <row r="51" customFormat="false" ht="15" hidden="false" customHeight="false" outlineLevel="0" collapsed="false">
      <c r="A51" s="12" t="s">
        <v>305</v>
      </c>
    </row>
    <row r="52" customFormat="false" ht="15" hidden="false" customHeight="false" outlineLevel="0" collapsed="false">
      <c r="A52" s="13" t="s">
        <v>306</v>
      </c>
    </row>
    <row r="53" customFormat="false" ht="15" hidden="false" customHeight="false" outlineLevel="0" collapsed="false">
      <c r="A53" s="13" t="s">
        <v>307</v>
      </c>
    </row>
    <row r="54" customFormat="false" ht="15" hidden="false" customHeight="false" outlineLevel="0" collapsed="false">
      <c r="A54" s="13" t="s">
        <v>308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4" min="4" style="0" width="62"/>
  </cols>
  <sheetData>
    <row r="1" customFormat="false" ht="19.4" hidden="false" customHeight="false" outlineLevel="0" collapsed="false">
      <c r="A1" s="1" t="s">
        <v>309</v>
      </c>
    </row>
    <row r="3" customFormat="false" ht="15" hidden="false" customHeight="false" outlineLevel="0" collapsed="false">
      <c r="A3" s="29" t="s">
        <v>310</v>
      </c>
    </row>
    <row r="5" customFormat="false" ht="15" hidden="false" customHeight="false" outlineLevel="0" collapsed="false">
      <c r="A5" s="3" t="s">
        <v>187</v>
      </c>
      <c r="B5" s="3" t="s">
        <v>311</v>
      </c>
      <c r="C5" s="3" t="s">
        <v>312</v>
      </c>
      <c r="D5" s="3" t="s">
        <v>313</v>
      </c>
    </row>
    <row r="6" customFormat="false" ht="64.9" hidden="false" customHeight="false" outlineLevel="0" collapsed="false">
      <c r="A6" s="8" t="s">
        <v>4</v>
      </c>
      <c r="B6" s="9" t="s">
        <v>314</v>
      </c>
      <c r="C6" s="10" t="s">
        <v>315</v>
      </c>
      <c r="D6" s="10" t="s">
        <v>316</v>
      </c>
    </row>
    <row r="7" customFormat="false" ht="63.4" hidden="false" customHeight="false" outlineLevel="0" collapsed="false">
      <c r="A7" s="8" t="s">
        <v>5</v>
      </c>
      <c r="B7" s="10" t="s">
        <v>317</v>
      </c>
      <c r="C7" s="10" t="s">
        <v>318</v>
      </c>
      <c r="D7" s="10" t="s">
        <v>316</v>
      </c>
    </row>
    <row r="8" customFormat="false" ht="52.2" hidden="false" customHeight="false" outlineLevel="0" collapsed="false">
      <c r="A8" s="8" t="s">
        <v>6</v>
      </c>
      <c r="B8" s="9" t="s">
        <v>319</v>
      </c>
      <c r="C8" s="10" t="s">
        <v>320</v>
      </c>
      <c r="D8" s="10" t="s">
        <v>316</v>
      </c>
    </row>
    <row r="9" customFormat="false" ht="52.2" hidden="false" customHeight="false" outlineLevel="0" collapsed="false">
      <c r="A9" s="8" t="s">
        <v>7</v>
      </c>
      <c r="B9" s="9" t="s">
        <v>321</v>
      </c>
      <c r="C9" s="9" t="s">
        <v>322</v>
      </c>
      <c r="D9" s="10" t="s">
        <v>316</v>
      </c>
    </row>
    <row r="11" customFormat="false" ht="15" hidden="false" customHeight="false" outlineLevel="0" collapsed="false">
      <c r="A11" s="29" t="s">
        <v>323</v>
      </c>
    </row>
    <row r="12" customFormat="false" ht="15" hidden="false" customHeight="false" outlineLevel="0" collapsed="false">
      <c r="A12" s="3" t="s">
        <v>324</v>
      </c>
      <c r="B12" s="3" t="s">
        <v>187</v>
      </c>
      <c r="C12" s="3" t="s">
        <v>325</v>
      </c>
      <c r="D12" s="3" t="s">
        <v>326</v>
      </c>
    </row>
    <row r="13" customFormat="false" ht="25.35" hidden="false" customHeight="false" outlineLevel="0" collapsed="false">
      <c r="A13" s="43" t="s">
        <v>327</v>
      </c>
      <c r="B13" s="43" t="s">
        <v>5</v>
      </c>
      <c r="C13" s="11" t="s">
        <v>328</v>
      </c>
      <c r="D13" s="11" t="s">
        <v>329</v>
      </c>
    </row>
    <row r="14" customFormat="false" ht="26.85" hidden="false" customHeight="false" outlineLevel="0" collapsed="false">
      <c r="A14" s="43" t="s">
        <v>327</v>
      </c>
      <c r="B14" s="43" t="s">
        <v>4</v>
      </c>
      <c r="C14" s="11" t="s">
        <v>330</v>
      </c>
      <c r="D14" s="11" t="s">
        <v>331</v>
      </c>
    </row>
    <row r="15" customFormat="false" ht="15" hidden="false" customHeight="false" outlineLevel="0" collapsed="false">
      <c r="A15" s="43" t="s">
        <v>332</v>
      </c>
      <c r="B15" s="43" t="s">
        <v>6</v>
      </c>
      <c r="C15" s="35" t="s">
        <v>333</v>
      </c>
      <c r="D15" s="35" t="s">
        <v>334</v>
      </c>
    </row>
    <row r="16" customFormat="false" ht="15" hidden="false" customHeight="false" outlineLevel="0" collapsed="false">
      <c r="A16" s="8" t="s">
        <v>335</v>
      </c>
      <c r="B16" s="8" t="s">
        <v>5</v>
      </c>
      <c r="C16" s="9" t="s">
        <v>336</v>
      </c>
      <c r="D16" s="9" t="s">
        <v>337</v>
      </c>
    </row>
    <row r="17" customFormat="false" ht="15" hidden="false" customHeight="false" outlineLevel="0" collapsed="false">
      <c r="A17" s="8" t="s">
        <v>335</v>
      </c>
      <c r="B17" s="8" t="s">
        <v>4</v>
      </c>
      <c r="C17" s="10" t="s">
        <v>338</v>
      </c>
      <c r="D17" s="9" t="s">
        <v>339</v>
      </c>
    </row>
    <row r="18" customFormat="false" ht="26.85" hidden="false" customHeight="false" outlineLevel="0" collapsed="false">
      <c r="A18" s="8" t="s">
        <v>340</v>
      </c>
      <c r="B18" s="8" t="s">
        <v>4</v>
      </c>
      <c r="C18" s="9" t="s">
        <v>341</v>
      </c>
      <c r="D18" s="9" t="s">
        <v>342</v>
      </c>
    </row>
    <row r="19" customFormat="false" ht="26.85" hidden="false" customHeight="false" outlineLevel="0" collapsed="false">
      <c r="A19" s="8" t="s">
        <v>340</v>
      </c>
      <c r="B19" s="8" t="s">
        <v>4</v>
      </c>
      <c r="C19" s="10" t="s">
        <v>343</v>
      </c>
      <c r="D19" s="9" t="s">
        <v>344</v>
      </c>
    </row>
    <row r="20" customFormat="false" ht="15" hidden="false" customHeight="false" outlineLevel="0" collapsed="false">
      <c r="A20" s="8" t="s">
        <v>340</v>
      </c>
      <c r="B20" s="8" t="s">
        <v>7</v>
      </c>
      <c r="C20" s="9" t="s">
        <v>345</v>
      </c>
      <c r="D20" s="10" t="s">
        <v>346</v>
      </c>
    </row>
    <row r="22" customFormat="false" ht="15" hidden="false" customHeight="false" outlineLevel="0" collapsed="false">
      <c r="A22" s="29" t="s">
        <v>347</v>
      </c>
    </row>
    <row r="23" customFormat="false" ht="15" hidden="false" customHeight="false" outlineLevel="0" collapsed="false">
      <c r="A23" s="3" t="s">
        <v>348</v>
      </c>
      <c r="B23" s="3" t="s">
        <v>187</v>
      </c>
      <c r="C23" s="3" t="s">
        <v>349</v>
      </c>
      <c r="D23" s="3" t="s">
        <v>350</v>
      </c>
    </row>
    <row r="24" customFormat="false" ht="26.85" hidden="false" customHeight="false" outlineLevel="0" collapsed="false">
      <c r="A24" s="39" t="s">
        <v>351</v>
      </c>
      <c r="B24" s="8" t="s">
        <v>5</v>
      </c>
      <c r="C24" s="10" t="s">
        <v>352</v>
      </c>
      <c r="D24" s="10" t="s">
        <v>353</v>
      </c>
    </row>
    <row r="25" customFormat="false" ht="15" hidden="false" customHeight="false" outlineLevel="0" collapsed="false">
      <c r="A25" s="39" t="s">
        <v>351</v>
      </c>
      <c r="B25" s="8" t="s">
        <v>7</v>
      </c>
      <c r="C25" s="9" t="s">
        <v>354</v>
      </c>
      <c r="D25" s="9" t="s">
        <v>355</v>
      </c>
    </row>
    <row r="26" customFormat="false" ht="15" hidden="false" customHeight="false" outlineLevel="0" collapsed="false">
      <c r="A26" s="39" t="s">
        <v>356</v>
      </c>
      <c r="B26" s="8" t="s">
        <v>4</v>
      </c>
      <c r="C26" s="9" t="s">
        <v>357</v>
      </c>
      <c r="D26" s="9" t="s">
        <v>358</v>
      </c>
    </row>
    <row r="27" customFormat="false" ht="15" hidden="false" customHeight="false" outlineLevel="0" collapsed="false">
      <c r="A27" s="39" t="s">
        <v>356</v>
      </c>
      <c r="B27" s="8" t="s">
        <v>5</v>
      </c>
      <c r="C27" s="9" t="s">
        <v>359</v>
      </c>
      <c r="D27" s="9" t="s">
        <v>360</v>
      </c>
    </row>
    <row r="28" customFormat="false" ht="15" hidden="false" customHeight="false" outlineLevel="0" collapsed="false">
      <c r="A28" s="39" t="s">
        <v>356</v>
      </c>
      <c r="B28" s="8" t="s">
        <v>6</v>
      </c>
      <c r="C28" s="9" t="s">
        <v>361</v>
      </c>
      <c r="D28" s="9" t="s">
        <v>358</v>
      </c>
    </row>
    <row r="29" customFormat="false" ht="15" hidden="false" customHeight="false" outlineLevel="0" collapsed="false">
      <c r="A29" s="39" t="s">
        <v>356</v>
      </c>
      <c r="B29" s="8" t="s">
        <v>7</v>
      </c>
      <c r="C29" s="9" t="s">
        <v>362</v>
      </c>
      <c r="D29" s="9" t="s">
        <v>363</v>
      </c>
    </row>
    <row r="30" customFormat="false" ht="15" hidden="false" customHeight="false" outlineLevel="0" collapsed="false">
      <c r="A30" s="39" t="s">
        <v>364</v>
      </c>
      <c r="B30" s="8" t="s">
        <v>5</v>
      </c>
      <c r="C30" s="9" t="s">
        <v>365</v>
      </c>
      <c r="D30" s="10" t="s">
        <v>366</v>
      </c>
    </row>
    <row r="31" customFormat="false" ht="15" hidden="false" customHeight="false" outlineLevel="0" collapsed="false">
      <c r="A31" s="39" t="s">
        <v>364</v>
      </c>
      <c r="B31" s="8" t="s">
        <v>6</v>
      </c>
      <c r="C31" s="9" t="s">
        <v>367</v>
      </c>
      <c r="D31" s="10" t="s">
        <v>368</v>
      </c>
    </row>
    <row r="32" customFormat="false" ht="15" hidden="false" customHeight="false" outlineLevel="0" collapsed="false">
      <c r="A32" s="39" t="s">
        <v>364</v>
      </c>
      <c r="B32" s="8" t="s">
        <v>4</v>
      </c>
      <c r="C32" s="9" t="s">
        <v>369</v>
      </c>
      <c r="D32" s="9" t="s">
        <v>370</v>
      </c>
    </row>
    <row r="33" customFormat="false" ht="15" hidden="false" customHeight="false" outlineLevel="0" collapsed="false">
      <c r="A33" s="39" t="s">
        <v>364</v>
      </c>
      <c r="B33" s="8" t="s">
        <v>7</v>
      </c>
      <c r="C33" s="9" t="s">
        <v>371</v>
      </c>
      <c r="D33" s="9" t="s">
        <v>372</v>
      </c>
    </row>
    <row r="34" customFormat="false" ht="15" hidden="false" customHeight="false" outlineLevel="0" collapsed="false">
      <c r="A34" s="39" t="s">
        <v>373</v>
      </c>
      <c r="B34" s="8" t="s">
        <v>4</v>
      </c>
      <c r="C34" s="9" t="s">
        <v>374</v>
      </c>
      <c r="D34" s="9" t="s">
        <v>375</v>
      </c>
    </row>
    <row r="35" customFormat="false" ht="15" hidden="false" customHeight="false" outlineLevel="0" collapsed="false">
      <c r="A35" s="39" t="s">
        <v>373</v>
      </c>
      <c r="B35" s="8" t="s">
        <v>7</v>
      </c>
      <c r="C35" s="9" t="s">
        <v>376</v>
      </c>
      <c r="D35" s="9" t="s">
        <v>377</v>
      </c>
    </row>
    <row r="36" customFormat="false" ht="15" hidden="false" customHeight="false" outlineLevel="0" collapsed="false">
      <c r="A36" s="39" t="s">
        <v>373</v>
      </c>
      <c r="B36" s="8" t="s">
        <v>378</v>
      </c>
      <c r="C36" s="9" t="s">
        <v>379</v>
      </c>
      <c r="D36" s="9" t="s">
        <v>380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34"/>
    <col collapsed="false" customWidth="true" hidden="false" outlineLevel="0" max="5" min="4" style="0" width="52"/>
  </cols>
  <sheetData>
    <row r="1" customFormat="false" ht="17.35" hidden="false" customHeight="false" outlineLevel="0" collapsed="false">
      <c r="A1" s="1" t="s">
        <v>381</v>
      </c>
    </row>
    <row r="2" customFormat="false" ht="15" hidden="false" customHeight="false" outlineLevel="0" collapsed="false">
      <c r="A2" s="2" t="s">
        <v>382</v>
      </c>
    </row>
    <row r="4" customFormat="false" ht="15" hidden="false" customHeight="false" outlineLevel="0" collapsed="false">
      <c r="A4" s="44" t="s">
        <v>383</v>
      </c>
      <c r="B4" s="3" t="s">
        <v>88</v>
      </c>
      <c r="C4" s="3" t="s">
        <v>384</v>
      </c>
      <c r="D4" s="3" t="s">
        <v>385</v>
      </c>
      <c r="E4" s="3" t="s">
        <v>386</v>
      </c>
    </row>
    <row r="5" customFormat="false" ht="39.55" hidden="false" customHeight="false" outlineLevel="0" collapsed="false">
      <c r="A5" s="42" t="n">
        <v>1</v>
      </c>
      <c r="B5" s="45" t="s">
        <v>190</v>
      </c>
      <c r="C5" s="9" t="s">
        <v>387</v>
      </c>
      <c r="D5" s="9" t="s">
        <v>388</v>
      </c>
      <c r="E5" s="10" t="s">
        <v>389</v>
      </c>
    </row>
    <row r="6" customFormat="false" ht="26.85" hidden="false" customHeight="false" outlineLevel="0" collapsed="false">
      <c r="A6" s="42" t="n">
        <v>2</v>
      </c>
      <c r="B6" s="45" t="s">
        <v>190</v>
      </c>
      <c r="C6" s="9" t="s">
        <v>390</v>
      </c>
      <c r="D6" s="10" t="s">
        <v>391</v>
      </c>
      <c r="E6" s="10" t="s">
        <v>392</v>
      </c>
    </row>
    <row r="7" customFormat="false" ht="26.85" hidden="false" customHeight="false" outlineLevel="0" collapsed="false">
      <c r="A7" s="42" t="n">
        <v>3</v>
      </c>
      <c r="B7" s="45" t="s">
        <v>190</v>
      </c>
      <c r="C7" s="9" t="s">
        <v>393</v>
      </c>
      <c r="D7" s="9" t="s">
        <v>394</v>
      </c>
      <c r="E7" s="9" t="s">
        <v>395</v>
      </c>
    </row>
    <row r="8" customFormat="false" ht="26.85" hidden="false" customHeight="false" outlineLevel="0" collapsed="false">
      <c r="A8" s="42" t="n">
        <v>4</v>
      </c>
      <c r="B8" s="45" t="s">
        <v>190</v>
      </c>
      <c r="C8" s="9" t="s">
        <v>396</v>
      </c>
      <c r="D8" s="10" t="s">
        <v>397</v>
      </c>
      <c r="E8" s="9" t="s">
        <v>398</v>
      </c>
    </row>
    <row r="9" customFormat="false" ht="26.85" hidden="false" customHeight="false" outlineLevel="0" collapsed="false">
      <c r="A9" s="42" t="n">
        <v>5</v>
      </c>
      <c r="B9" s="45" t="s">
        <v>190</v>
      </c>
      <c r="C9" s="9" t="s">
        <v>399</v>
      </c>
      <c r="D9" s="9" t="s">
        <v>400</v>
      </c>
      <c r="E9" s="9" t="s">
        <v>401</v>
      </c>
    </row>
    <row r="10" customFormat="false" ht="26.85" hidden="false" customHeight="false" outlineLevel="0" collapsed="false">
      <c r="A10" s="42" t="n">
        <v>6</v>
      </c>
      <c r="B10" s="45" t="s">
        <v>190</v>
      </c>
      <c r="C10" s="9" t="s">
        <v>402</v>
      </c>
      <c r="D10" s="9" t="s">
        <v>403</v>
      </c>
      <c r="E10" s="9" t="s">
        <v>404</v>
      </c>
    </row>
    <row r="11" customFormat="false" ht="26.85" hidden="false" customHeight="false" outlineLevel="0" collapsed="false">
      <c r="A11" s="42" t="n">
        <v>7</v>
      </c>
      <c r="B11" s="45" t="s">
        <v>190</v>
      </c>
      <c r="C11" s="9" t="s">
        <v>405</v>
      </c>
      <c r="D11" s="9" t="s">
        <v>406</v>
      </c>
      <c r="E11" s="9" t="s">
        <v>407</v>
      </c>
    </row>
    <row r="12" customFormat="false" ht="39.55" hidden="false" customHeight="false" outlineLevel="0" collapsed="false">
      <c r="A12" s="42" t="n">
        <v>8</v>
      </c>
      <c r="B12" s="45" t="s">
        <v>190</v>
      </c>
      <c r="C12" s="9" t="s">
        <v>408</v>
      </c>
      <c r="D12" s="9" t="s">
        <v>409</v>
      </c>
      <c r="E12" s="9" t="s">
        <v>410</v>
      </c>
    </row>
    <row r="13" customFormat="false" ht="26.85" hidden="false" customHeight="false" outlineLevel="0" collapsed="false">
      <c r="A13" s="42" t="n">
        <v>9</v>
      </c>
      <c r="B13" s="45" t="s">
        <v>411</v>
      </c>
      <c r="C13" s="9" t="s">
        <v>412</v>
      </c>
      <c r="D13" s="9" t="s">
        <v>413</v>
      </c>
      <c r="E13" s="9" t="s">
        <v>414</v>
      </c>
    </row>
    <row r="14" customFormat="false" ht="26.85" hidden="false" customHeight="false" outlineLevel="0" collapsed="false">
      <c r="A14" s="42" t="n">
        <v>10</v>
      </c>
      <c r="B14" s="45" t="s">
        <v>411</v>
      </c>
      <c r="C14" s="9" t="s">
        <v>415</v>
      </c>
      <c r="D14" s="9" t="s">
        <v>416</v>
      </c>
      <c r="E14" s="9" t="s">
        <v>417</v>
      </c>
    </row>
    <row r="15" customFormat="false" ht="26.85" hidden="false" customHeight="false" outlineLevel="0" collapsed="false">
      <c r="A15" s="42" t="n">
        <v>11</v>
      </c>
      <c r="B15" s="45" t="s">
        <v>411</v>
      </c>
      <c r="C15" s="9" t="s">
        <v>418</v>
      </c>
      <c r="D15" s="10" t="s">
        <v>419</v>
      </c>
      <c r="E15" s="9" t="s">
        <v>420</v>
      </c>
    </row>
    <row r="16" customFormat="false" ht="26.85" hidden="false" customHeight="false" outlineLevel="0" collapsed="false">
      <c r="A16" s="42" t="n">
        <v>12</v>
      </c>
      <c r="B16" s="45" t="s">
        <v>411</v>
      </c>
      <c r="C16" s="10" t="s">
        <v>421</v>
      </c>
      <c r="D16" s="9" t="s">
        <v>422</v>
      </c>
      <c r="E16" s="9" t="s">
        <v>423</v>
      </c>
    </row>
    <row r="17" customFormat="false" ht="26.85" hidden="false" customHeight="false" outlineLevel="0" collapsed="false">
      <c r="A17" s="42" t="n">
        <v>13</v>
      </c>
      <c r="B17" s="45" t="s">
        <v>411</v>
      </c>
      <c r="C17" s="9" t="s">
        <v>424</v>
      </c>
      <c r="D17" s="10" t="s">
        <v>425</v>
      </c>
      <c r="E17" s="9" t="s">
        <v>426</v>
      </c>
    </row>
    <row r="18" customFormat="false" ht="26.85" hidden="false" customHeight="false" outlineLevel="0" collapsed="false">
      <c r="A18" s="42" t="n">
        <v>14</v>
      </c>
      <c r="B18" s="45" t="s">
        <v>427</v>
      </c>
      <c r="C18" s="9" t="s">
        <v>428</v>
      </c>
      <c r="D18" s="9" t="s">
        <v>429</v>
      </c>
      <c r="E18" s="9" t="s">
        <v>430</v>
      </c>
    </row>
    <row r="19" customFormat="false" ht="39.55" hidden="false" customHeight="false" outlineLevel="0" collapsed="false">
      <c r="A19" s="42" t="n">
        <v>15</v>
      </c>
      <c r="B19" s="45" t="s">
        <v>427</v>
      </c>
      <c r="C19" s="9" t="s">
        <v>431</v>
      </c>
      <c r="D19" s="9" t="s">
        <v>432</v>
      </c>
      <c r="E19" s="9" t="s">
        <v>433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2026-08-19T12:21:01Z</dcterms:created>
  <dc:creator>openpyxl</dc:creator>
  <dc:description/>
  <dc:language>en-US</dc:language>
  <cp:lastModifiedBy/>
  <dcterms:modified xsi:type="dcterms:W3CDTF">2026-08-19T12:21:01Z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