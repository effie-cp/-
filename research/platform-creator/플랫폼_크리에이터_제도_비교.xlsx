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2. 비전속 제도" sheetId="2" state="visible" r:id="rId4"/>
    <sheet name="3. 정산 단가" sheetId="3" state="visible" r:id="rId5"/>
    <sheet name="4. 등급표" sheetId="4" state="visible" r:id="rId6"/>
    <sheet name="5. 출처·미확인" sheetId="5" state="visible" r:id="rId7"/>
    <sheet name="6. 시사점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<sst xmlns="http://schemas.openxmlformats.org/spreadsheetml/2006/main" count="2392" uniqueCount="1358">
  <si>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</si>
  <si>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</si>
  <si>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투킷은 베이비챗과 같은 곳에서 만든 여성향 플랫폼으로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베이비챗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투킷</t>
    </r>
    <r>
      <rPr>
        <i val="true"/>
        <sz val="9"/>
        <color rgb="FF595959"/>
        <rFont val="맑은 고딕"/>
        <family val="0"/>
        <charset val="1"/>
      </rPr>
      <t xml:space="preserve">)' </t>
    </r>
    <r>
      <rPr>
        <i val="true"/>
        <sz val="9"/>
        <color rgb="FF595959"/>
        <rFont val="WenQuanYi Zen Hei"/>
        <family val="2"/>
      </rPr>
      <t xml:space="preserve">한 열로 통합했습니다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 — 투킷 자체 문서 미확인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</si>
  <si>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t xml:space="preserve">항목</t>
  </si>
  <si>
    <t xml:space="preserve">케이브덕</t>
  </si>
  <si>
    <r>
      <rPr>
        <b val="true"/>
        <sz val="10"/>
        <color rgb="FFFFFFFF"/>
        <rFont val="WenQuanYi Zen Hei"/>
        <family val="2"/>
      </rPr>
      <t xml:space="preserve">베이비챗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투킷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</si>
  <si>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</si>
  <si>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</si>
  <si>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</si>
  <si>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</si>
  <si>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</si>
  <si>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</si>
  <si>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</si>
  <si>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</si>
  <si>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위프</t>
  </si>
  <si>
    <t xml:space="preserve">둠칫</t>
  </si>
  <si>
    <t xml:space="preserve">티팟</t>
  </si>
  <si>
    <t xml:space="preserve">우마이</t>
  </si>
  <si>
    <t xml:space="preserve">유니챗</t>
  </si>
  <si>
    <t xml:space="preserve">이세계트럭</t>
  </si>
  <si>
    <t xml:space="preserve">팅글</t>
  </si>
  <si>
    <r>
      <rPr>
        <b val="true"/>
        <sz val="10"/>
        <color rgb="FFFFFFFF"/>
        <rFont val="WenQuanYi Zen Hei"/>
        <family val="2"/>
      </rPr>
      <t xml:space="preserve">로판</t>
    </r>
    <r>
      <rPr>
        <b val="true"/>
        <sz val="10"/>
        <color rgb="FFFFFFFF"/>
        <rFont val="맑은 고딕"/>
        <family val="0"/>
        <charset val="1"/>
      </rPr>
      <t xml:space="preserve">AI</t>
    </r>
  </si>
  <si>
    <t xml:space="preserve">멜팅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</si>
  <si>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</si>
  <si>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</si>
  <si>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</si>
  <si>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</si>
  <si>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</si>
  <si>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</si>
  <si>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</si>
  <si>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</si>
  <si>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타이틀 작가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활동 실적 기반 등급제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</t>
    </r>
    <r>
      <rPr>
        <sz val="10"/>
        <rFont val="맑은 고딕"/>
        <family val="0"/>
        <charset val="1"/>
      </rPr>
      <t xml:space="preserve">·4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</si>
  <si>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작품 단위 제도가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</si>
  <si>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</si>
  <si>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인증 크리에이터</t>
  </si>
  <si>
    <t xml:space="preserve">확인된 전속 제도 없음</t>
  </si>
  <si>
    <r>
      <rPr>
        <sz val="10"/>
        <rFont val="WenQuanYi Zen Hei"/>
        <family val="2"/>
      </rPr>
      <t xml:space="preserve">확인된 공식 크리에이터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전속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</si>
  <si>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리워드 정산 자격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</si>
  <si>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'R ONLY'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</si>
  <si>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앰배서더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아래 파트너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</si>
  <si>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</si>
  <si>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</si>
  <si>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</si>
  <si>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</si>
  <si>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</si>
  <si>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</si>
  <si>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</si>
  <si>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공식 크리에이터 자체에는 독점 조건이 붙지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독점은 작품 단위 제도로 분리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</si>
  <si>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남으면서 캐릭터별로만 독점 전환하는 선택지도 있음</t>
    </r>
  </si>
  <si>
    <t xml:space="preserve">미확인 — 문서에 독점 조건 언급 없음</t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</si>
  <si>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문서상 독점 조건 없음</t>
    </r>
  </si>
  <si>
    <r>
      <rPr>
        <sz val="10"/>
        <rFont val="WenQuanYi Zen Hei"/>
        <family val="2"/>
      </rPr>
      <t xml:space="preserve">미확인 — 우대가 </t>
    </r>
    <r>
      <rPr>
        <sz val="10"/>
        <rFont val="맑은 고딕"/>
        <family val="0"/>
        <charset val="1"/>
      </rPr>
      <t xml:space="preserve">'R ONLY </t>
    </r>
    <r>
      <rPr>
        <sz val="10"/>
        <rFont val="WenQuanYi Zen Hei"/>
        <family val="2"/>
      </rPr>
      <t xml:space="preserve">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걸리므로 작품 단위 독점이 전제로 보이나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단위 전속 요구 여부는 문서상 불명</t>
    </r>
  </si>
  <si>
    <t xml:space="preserve">미확인 — 계약 내용 비공개</t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</si>
  <si>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</si>
  <si>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</si>
  <si>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</si>
  <si>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</si>
  <si>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</si>
  <si>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</si>
  <si>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</si>
  <si>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</si>
  <si>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신청 불가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둠칫 오리지널 계약 체결 시 자동 선정 ② 콘테스트 수상 시 운영팀 검토 후 제안 ③ 운영팀 추천</t>
    </r>
  </si>
  <si>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계약 시 독점 등급 선택</t>
    </r>
  </si>
  <si>
    <t xml:space="preserve">셀프 신청 — 크리에이터 페이지에서 직접 신청 가능</t>
  </si>
  <si>
    <r>
      <rPr>
        <sz val="10"/>
        <rFont val="WenQuanYi Zen Hei"/>
        <family val="2"/>
      </rPr>
      <t xml:space="preserve">멜팅이 함께 성장할 크리에이터에게 직접 제안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협의를 통해 선정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초대제</t>
    </r>
    <r>
      <rPr>
        <sz val="10"/>
        <rFont val="맑은 고딕"/>
        <family val="0"/>
        <charset val="1"/>
      </rPr>
      <t xml:space="preserve">)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</si>
  <si>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</si>
  <si>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</si>
  <si>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</si>
  <si>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</si>
  <si>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</si>
  <si>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</si>
  <si>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품질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커뮤니티 기여도 등을 종합 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기준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</si>
  <si>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(10,000)</t>
    </r>
    <r>
      <rPr>
        <sz val="10"/>
        <rFont val="WenQuanYi Zen Hei"/>
        <family val="2"/>
      </rPr>
      <t xml:space="preserve">회 이상인 캐릭터가 하나라도 있으면 신청 가능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</si>
  <si>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꾸준히 캐릭터와 이야기를 만드는 크리에이터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정량 기준 미공개</t>
    </r>
  </si>
  <si>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사실상 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제재 이력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거친 이후 단계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</si>
  <si>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</si>
  <si>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</si>
  <si>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</si>
  <si>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</si>
  <si>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</si>
  <si>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운영팀 검토 → 제안</t>
  </si>
  <si>
    <r>
      <rPr>
        <sz val="10"/>
        <rFont val="WenQuanYi Zen Hei"/>
        <family val="2"/>
      </rPr>
      <t xml:space="preserve">신청 → 운영진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며칠 소요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가입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발송 → 전자서명 완료 시 계약 활성화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</si>
  <si>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t xml:space="preserve">개별 협의 → 파트너십 계약 체결</t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</si>
  <si>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</si>
  <si>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</si>
  <si>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</si>
  <si>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</si>
  <si>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</si>
  <si>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</si>
  <si>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</si>
  <si>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</si>
  <si>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</si>
  <si>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하나도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전언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독점을 포함한 제한 조항이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 미공개로 검증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</si>
  <si>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</si>
  <si>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해당 없음 — 공식 크리에이터는 독점을 요구하지 않음</t>
  </si>
  <si>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공개 운영이 전제이며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외 상태로 전환 시 계약 전체가 해지될 수 있음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</si>
  <si>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</si>
  <si>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</si>
  <si>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</si>
  <si>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</si>
  <si>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</si>
  <si>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</si>
  <si>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자동 갱신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 크리에이터는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</si>
  <si>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</si>
  <si>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</si>
  <si>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</si>
  <si>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</si>
  <si>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</si>
  <si>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불가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</si>
  <si>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</si>
  <si>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</si>
  <si>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</si>
  <si>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r>
      <rPr>
        <sz val="10"/>
        <rFont val="WenQuanYi Zen Hei"/>
        <family val="2"/>
      </rPr>
      <t xml:space="preserve">인센티브 비율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티어 비율에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티어 최대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와 합치면 </t>
    </r>
    <r>
      <rPr>
        <sz val="10"/>
        <rFont val="맑은 고딕"/>
        <family val="0"/>
        <charset val="1"/>
      </rPr>
      <t xml:space="preserve">17%, </t>
    </r>
    <r>
      <rPr>
        <sz val="10"/>
        <rFont val="WenQuanYi Zen Hei"/>
        <family val="2"/>
      </rPr>
      <t xml:space="preserve">여기에 독점공개</t>
    </r>
    <r>
      <rPr>
        <sz val="10"/>
        <rFont val="맑은 고딕"/>
        <family val="0"/>
        <charset val="1"/>
      </rPr>
      <t xml:space="preserve">(+3%) </t>
    </r>
    <r>
      <rPr>
        <sz val="10"/>
        <rFont val="WenQuanYi Zen Hei"/>
        <family val="2"/>
      </rPr>
      <t xml:space="preserve">또는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을 얹으면 </t>
    </r>
    <r>
      <rPr>
        <sz val="10"/>
        <rFont val="맑은 고딕"/>
        <family val="0"/>
        <charset val="1"/>
      </rPr>
      <t xml:space="preserve">20~22%</t>
    </r>
  </si>
  <si>
    <r>
      <rPr>
        <sz val="10"/>
        <rFont val="WenQuanYi Zen Hei"/>
        <family val="2"/>
      </rPr>
      <t xml:space="preserve">유료 리프 사용액의 </t>
    </r>
    <r>
      <rPr>
        <sz val="10"/>
        <rFont val="맑은 고딕"/>
        <family val="0"/>
        <charset val="1"/>
      </rPr>
      <t xml:space="preserve">12% — </t>
    </r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조사 대상 중 전속 프리미엄을 가장 명확한 숫자로 공개한 사례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적립률은 적립 시점 기준이며 전환해도 기존 인센티브는 소급 재계산되지 않음</t>
    </r>
  </si>
  <si>
    <r>
      <rPr>
        <sz val="10"/>
        <rFont val="WenQuanYi Zen Hei"/>
        <family val="2"/>
      </rPr>
      <t xml:space="preserve">유료 캐롯 소모액의 </t>
    </r>
    <r>
      <rPr>
        <sz val="10"/>
        <rFont val="맑은 고딕"/>
        <family val="0"/>
        <charset val="1"/>
      </rPr>
      <t xml:space="preserve">8% (~12%) — </t>
    </r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1.6~2.4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예정된 정산율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확정 전 단계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추후 미션 완료율에 따라 더 지급할 수 있는 구조를 논의 중</t>
    </r>
  </si>
  <si>
    <r>
      <rPr>
        <sz val="10"/>
        <rFont val="WenQuanYi Zen Hei"/>
        <family val="2"/>
      </rPr>
      <t xml:space="preserve">해당 없음 — 등급 구분 없이 제작자 단위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요율</t>
    </r>
  </si>
  <si>
    <r>
      <rPr>
        <sz val="10"/>
        <rFont val="WenQuanYi Zen Hei"/>
        <family val="2"/>
      </rPr>
      <t xml:space="preserve">해당 없음 — 등급 구분 없이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표기</t>
    </r>
  </si>
  <si>
    <r>
      <rPr>
        <sz val="10"/>
        <rFont val="WenQuanYi Zen Hei"/>
        <family val="2"/>
      </rPr>
      <t xml:space="preserve">해당 없음 — 등급 구분 없이 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단일 요율</t>
    </r>
  </si>
  <si>
    <r>
      <rPr>
        <sz val="10"/>
        <rFont val="맑은 고딕"/>
        <family val="0"/>
        <charset val="1"/>
      </rPr>
      <t xml:space="preserve">'R ONLY' </t>
    </r>
    <r>
      <rPr>
        <sz val="10"/>
        <rFont val="WenQuanYi Zen Hei"/>
        <family val="2"/>
      </rPr>
      <t xml:space="preserve">캐릭터 인센티브 비율 상향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상향 폭은 미공개 — 일반 크리에이터의 </t>
    </r>
    <r>
      <rPr>
        <sz val="10"/>
        <rFont val="맑은 고딕"/>
        <family val="0"/>
        <charset val="1"/>
      </rPr>
      <t xml:space="preserve">R ONLY(30%)</t>
    </r>
    <r>
      <rPr>
        <sz val="10"/>
        <rFont val="WenQuanYi Zen Hei"/>
        <family val="2"/>
      </rPr>
      <t xml:space="preserve">보다 높다는 것만 확인됨</t>
    </r>
  </si>
  <si>
    <r>
      <rPr>
        <sz val="10"/>
        <rFont val="WenQuanYi Zen Hei"/>
        <family val="2"/>
      </rPr>
      <t xml:space="preserve">미공개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크리에이터의 혜택을 모두 포함하며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혜택은 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</si>
  <si>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</si>
  <si>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</si>
  <si>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</si>
  <si>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</si>
  <si>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</si>
  <si>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계약 시에는 작품 계약금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</si>
  <si>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</si>
  <si>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</si>
  <si>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</si>
  <si>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</si>
  <si>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</si>
  <si>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</si>
  <si>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sz val="10"/>
        <rFont val="WenQuanYi Zen Hei"/>
        <family val="2"/>
      </rPr>
      <t xml:space="preserve">공식 배지 프로필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</si>
  <si>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r>
      <rPr>
        <sz val="10"/>
        <rFont val="WenQuanYi Zen Hei"/>
        <family val="2"/>
      </rPr>
      <t xml:space="preserve">파트너 혜택 포함 — 전 캐릭터 피처드 승급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메인 피처드 전용 영역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 내외 광고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퀴즈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배너</t>
    </r>
    <r>
      <rPr>
        <sz val="10"/>
        <rFont val="맑은 고딕"/>
        <family val="0"/>
        <charset val="1"/>
      </rPr>
      <t xml:space="preserve">·X·</t>
    </r>
    <r>
      <rPr>
        <sz val="10"/>
        <rFont val="WenQuanYi Zen Hei"/>
        <family val="2"/>
      </rPr>
      <t xml:space="preserve">인스타그램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</si>
  <si>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</si>
  <si>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</si>
  <si>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</si>
  <si>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</si>
  <si>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</si>
  <si>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</si>
  <si>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</si>
  <si>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기획형 콘텐츠 제작 시 운영팀 우선 협업</t>
    </r>
  </si>
  <si>
    <r>
      <rPr>
        <sz val="10"/>
        <rFont val="WenQuanYi Zen Hei"/>
        <family val="2"/>
      </rPr>
      <t xml:space="preserve">파트너 혜택 포함 — 크리에이터 대시보드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전용 상담 채널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</si>
  <si>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</si>
  <si>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</si>
  <si>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</si>
  <si>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</si>
  <si>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</si>
  <si>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 도구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유저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정책에 대한 제작자 관점 피드백 우선 반영</t>
    </r>
  </si>
  <si>
    <r>
      <rPr>
        <sz val="10"/>
        <rFont val="WenQuanYi Zen Hei"/>
        <family val="2"/>
      </rPr>
      <t xml:space="preserve">라이징 캐릭터는 다국어 번역되어 글로벌 서비스에 등록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신청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캐릭터의 글로벌 서비스 제공에 관한 사항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동의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</si>
  <si>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</si>
  <si>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</si>
  <si>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공식 크리에이터 취지에 맞는 활동 지속</t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</si>
  <si>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신청한 캐릭터는 입금받는 달까지 공개를 유지해야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처리 시점에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링크공개면 해당 캐릭터 몫은 반려되고 인센티브로 전액 복원</t>
    </r>
  </si>
  <si>
    <r>
      <rPr>
        <sz val="10"/>
        <rFont val="WenQuanYi Zen Hei"/>
        <family val="2"/>
      </rPr>
      <t xml:space="preserve">파트너 단계 의무가 전제 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</si>
  <si>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</si>
  <si>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</si>
  <si>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</si>
  <si>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</si>
  <si>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sz val="10"/>
        <rFont val="WenQuanYi Zen Hei"/>
        <family val="2"/>
      </rPr>
      <t xml:space="preserve">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가이드라인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취지에 맞지 않는 활동 지속 → 운영팀 검토 후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 요청 → 해제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공식 크리에이터 해제에는 환수 조항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</si>
  <si>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계약 해지 시에도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 —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단 캐릭터를 비공개로 전환하면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</si>
  <si>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제작 규정 위반으로 블락 처리된 애셋은 정산 대상 제외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블락 처리 전 발생 수익까지 회수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도용 등 운영 정책 위반 시 크리에이터 자격 영구 박탈</t>
    </r>
  </si>
  <si>
    <r>
      <rPr>
        <sz val="10"/>
        <rFont val="WenQuanYi Zen Hei"/>
        <family val="2"/>
      </rPr>
      <t xml:space="preserve">의무 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 시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중대 위반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전부 박탈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출금 중단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 포인트는 소멸하지 않으나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</si>
  <si>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</si>
  <si>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</si>
  <si>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</si>
  <si>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 요청으로 해제 가능</t>
    </r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</si>
  <si>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</si>
  <si>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</si>
  <si>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</si>
  <si>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</si>
  <si>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</si>
  <si>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</si>
  <si>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이용자 수 증가에 따라 티어 승급 조건 또는 등급 종류 변동 가능</t>
  </si>
  <si>
    <r>
      <rPr>
        <sz val="10"/>
        <rFont val="WenQuanYi Zen Hei"/>
        <family val="2"/>
      </rPr>
      <t xml:space="preserve">관련 법령 또는 서비스 정책 변경에 따라 수정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공지사항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 메뉴로 안내</t>
    </r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</si>
  <si>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</si>
  <si>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</si>
  <si>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</si>
  <si>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</si>
  <si>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</si>
  <si>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</si>
  <si>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</si>
  <si>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</si>
  <si>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</si>
  <si>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</si>
  <si>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(FAQ + </t>
    </r>
    <r>
      <rPr>
        <sz val="10"/>
        <rFont val="WenQuanYi Zen Hei"/>
        <family val="2"/>
      </rPr>
      <t xml:space="preserve">타이틀 작가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</si>
  <si>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작가 인센티브 제도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</si>
  <si>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</si>
  <si>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예정치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</si>
  <si>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상세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</si>
  <si>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</si>
  <si>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</si>
  <si>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 일체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</si>
  <si>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</si>
  <si>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</si>
  <si>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거의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</si>
  <si>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</si>
  <si>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</si>
  <si>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12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챗플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위프는 배수만 공개하고 기준 요율을 숨김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</si>
  <si>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</si>
  <si>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티팟만 전속 프리미엄을 단일 숫자로 명확히 제시 — 자유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</si>
  <si>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</si>
  <si>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   ※ 투킷은 베이비챗의 여성향 자매 서비스로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한 열로 통합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</si>
  <si>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</si>
  <si>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</si>
  <si>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</si>
  <si>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</si>
  <si>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</si>
  <si>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</si>
  <si>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</si>
  <si>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</si>
  <si>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</si>
  <si>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</si>
  <si>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타이틀 작가 — 루키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등급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</si>
  <si>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작가 티어 제도 — 실버</t>
    </r>
    <r>
      <rPr>
        <sz val="10"/>
        <rFont val="맑은 고딕"/>
        <family val="0"/>
        <charset val="1"/>
      </rPr>
      <t xml:space="preserve">3 ~ </t>
    </r>
    <r>
      <rPr>
        <sz val="10"/>
        <rFont val="WenQuanYi Zen Hei"/>
        <family val="2"/>
      </rPr>
      <t xml:space="preserve">핑크 다이아몬드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</si>
  <si>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없이도 적립됨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</si>
  <si>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(※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</si>
  <si>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초기 제작자 정산 </t>
    </r>
    <r>
      <rPr>
        <sz val="10"/>
        <rFont val="맑은 고딕"/>
        <family val="0"/>
        <charset val="1"/>
      </rPr>
      <t xml:space="preserve">(2026.06.30</t>
    </r>
    <r>
      <rPr>
        <sz val="10"/>
        <rFont val="WenQuanYi Zen Hei"/>
        <family val="2"/>
      </rPr>
      <t xml:space="preserve">까지 작품 등록한 제작자 대상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</si>
  <si>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캐릭터 제작자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</si>
  <si>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등록 제도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등급 구분 없음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</si>
  <si>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수익화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</si>
  <si>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— 창작자 → 크리에이터 → 파트너 크리에이터 → 앰배서더 크리에이터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</si>
  <si>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</si>
  <si>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</si>
  <si>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</si>
  <si>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</si>
  <si>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t xml:space="preserve">미확인 — 제작자별 맞춤형 개별 협의</t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</si>
  <si>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</si>
  <si>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</si>
  <si>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</si>
  <si>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</si>
  <si>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</si>
  <si>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기준 요율이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비공개이고 등급 간 배수만 공개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</si>
  <si>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대상은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다른 사용자들이 내가 만든 월드에서 사용한 쿠키 총액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티어별 비율을 적용해 동일 가치의 포인트로 환산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실시간 업데이트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</si>
  <si>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캐릭터를 다른 유저가 이용할 때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매일 새벽 전날 사용분까지 자동 반영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</si>
  <si>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작품에 소모된 유료 캐롯 총액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</si>
  <si>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스텔라 사용량 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 단위로 적용</t>
    </r>
  </si>
  <si>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캐릭터 제작자에게 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제공되는 구조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모수가 명시되지 않음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</si>
  <si>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애셋의 유료 대화 수익 → 마일리지 적립 → 크리에이터 자격 획득 후 리워드로 전환 → 출금 또는 포인트 전환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</si>
  <si>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내가 만든 캐릭터에 소모된 포인트의 일부를 크레딧으로 지급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</si>
  <si>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라이징 캐릭터와 소비한 유료 콘의 </t>
    </r>
    <r>
      <rPr>
        <sz val="10"/>
        <rFont val="맑은 고딕"/>
        <family val="0"/>
        <charset val="1"/>
      </rPr>
      <t xml:space="preserve">1%</t>
    </r>
    <r>
      <rPr>
        <sz val="10"/>
        <rFont val="WenQuanYi Zen Hei"/>
        <family val="2"/>
      </rPr>
      <t xml:space="preserve">를 포인트로 지급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포인트는 콘으로 교환하거나 파트너 단계부터 현금 출금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</si>
  <si>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</si>
  <si>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</si>
  <si>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</si>
  <si>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</si>
  <si>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</si>
  <si>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</si>
  <si>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</si>
  <si>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</si>
  <si>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</si>
  <si>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루키 기준 요율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잠금 이미지는 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기준값을 모르므로 절대 수입 산출 불가</t>
    </r>
  </si>
  <si>
    <r>
      <rPr>
        <sz val="10"/>
        <rFont val="WenQuanYi Zen Hei"/>
        <family val="2"/>
      </rPr>
      <t xml:space="preserve">티어별 </t>
    </r>
    <r>
      <rPr>
        <sz val="10"/>
        <rFont val="맑은 고딕"/>
        <family val="0"/>
        <charset val="1"/>
      </rPr>
      <t xml:space="preserve">3% ~ 15%.
</t>
    </r>
    <r>
      <rPr>
        <sz val="10"/>
        <rFont val="WenQuanYi Zen Hei"/>
        <family val="2"/>
      </rPr>
      <t xml:space="preserve">가산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제도상 최대 </t>
    </r>
    <r>
      <rPr>
        <sz val="10"/>
        <rFont val="맑은 고딕"/>
        <family val="0"/>
        <charset val="1"/>
      </rPr>
      <t xml:space="preserve">22%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</si>
  <si>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12%.
</t>
    </r>
    <r>
      <rPr>
        <sz val="10"/>
        <rFont val="WenQuanYi Zen Hei"/>
        <family val="2"/>
      </rPr>
      <t xml:space="preserve">팬 후원은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</si>
  <si>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
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 (~12%)
※ </t>
    </r>
    <r>
      <rPr>
        <sz val="10"/>
        <rFont val="WenQuanYi Zen Hei"/>
        <family val="2"/>
      </rPr>
      <t xml:space="preserve">인증 커미션은 추후 미션 완료율 연동 구조를 논의 중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</si>
  <si>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정산 — 등급 구분 없는 단일 요율</t>
    </r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</si>
  <si>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무엇의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인지 미확인</t>
    </r>
    <r>
      <rPr>
        <sz val="10"/>
        <rFont val="맑은 고딕"/>
        <family val="0"/>
        <charset val="1"/>
      </rPr>
      <t xml:space="preserve">.
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기본 정산에 더해지는 가산인지 그 자체가 전부인지도 불명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</si>
  <si>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조사 대상 중 일반 크리에이터 기준 최고 표기 수치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</si>
  <si>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</t>
    </r>
  </si>
  <si>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2%
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: 1.5%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이미지 해금 건당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첫 장면 해금 유료 콘의 </t>
    </r>
    <r>
      <rPr>
        <sz val="10"/>
        <rFont val="맑은 고딕"/>
        <family val="0"/>
        <charset val="1"/>
      </rPr>
      <t xml:space="preserve">25%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</si>
  <si>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</si>
  <si>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</si>
  <si>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</si>
  <si>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</si>
  <si>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</si>
  <si>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</si>
  <si>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</si>
  <si>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</si>
  <si>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미확인 — 위프의 현금 환산율 미공개</t>
  </si>
  <si>
    <r>
      <rPr>
        <sz val="10"/>
        <rFont val="WenQuanYi Zen Hei"/>
        <family val="2"/>
      </rPr>
      <t xml:space="preserve">출금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(1P = 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유저 측 쿠키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실지불 유료쿠키당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구간 동일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</si>
  <si>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유저 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리프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할인은 전부 보너스 리프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인센티브 → 리프</t>
    </r>
    <r>
      <rPr>
        <sz val="10"/>
        <rFont val="맑은 고딕"/>
        <family val="0"/>
        <charset val="1"/>
      </rPr>
      <t xml:space="preserve">: 1:1,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
인센티브 → 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85.53% (</t>
    </r>
    <r>
      <rPr>
        <sz val="10"/>
        <rFont val="WenQuanYi Zen Hei"/>
        <family val="2"/>
      </rPr>
      <t xml:space="preserve">예시</t>
    </r>
    <r>
      <rPr>
        <sz val="10"/>
        <rFont val="맑은 고딕"/>
        <family val="0"/>
        <charset val="1"/>
      </rPr>
      <t xml:space="preserve">: 10,000</t>
    </r>
    <r>
      <rPr>
        <sz val="10"/>
        <rFont val="WenQuanYi Zen Hei"/>
        <family val="2"/>
      </rPr>
      <t xml:space="preserve">원 신청 → </t>
    </r>
    <r>
      <rPr>
        <sz val="10"/>
        <rFont val="맑은 고딕"/>
        <family val="0"/>
        <charset val="1"/>
      </rPr>
      <t xml:space="preserve">11,692 </t>
    </r>
    <r>
      <rPr>
        <sz val="10"/>
        <rFont val="WenQuanYi Zen Hei"/>
        <family val="2"/>
      </rPr>
      <t xml:space="preserve">인센티브 차감 → 정확히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입금</t>
    </r>
    <r>
      <rPr>
        <sz val="10"/>
        <rFont val="맑은 고딕"/>
        <family val="0"/>
        <charset val="1"/>
      </rPr>
      <t xml:space="preserve">)</t>
    </r>
  </si>
  <si>
    <t xml:space="preserve">미확인 — 캐롯 충전 가격표 미확보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</si>
  <si>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결제액 대비 그대로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</si>
  <si>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마일리지 → 리워드 전환 비율이 공개되지 않아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여부를 확정할 수 없음</t>
    </r>
  </si>
  <si>
    <t xml:space="preserve">미확인 — 포인트 충전 가격표 및 크레딧 → 포인트 교환 비율 모두 미공개</t>
  </si>
  <si>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1,800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
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콘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2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개는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상당으로 계산</t>
    </r>
    <r>
      <rPr>
        <sz val="10"/>
        <rFont val="맑은 고딕"/>
        <family val="0"/>
        <charset val="1"/>
      </rPr>
      <t xml:space="preserve">)</t>
    </r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</si>
  <si>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</si>
  <si>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</si>
  <si>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</si>
  <si>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</si>
  <si>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</si>
  <si>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</si>
  <si>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</si>
  <si>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</si>
  <si>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위프로만 수령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프라임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
※ 루키 시절 발생 대화량은 승급 후에도 현금 정산 불가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</si>
  <si>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나의 둠칫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수익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출금 내역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1,000,000P(=60,000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같은 달 여러 번 신청 시 합산 지급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</si>
  <si>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계약</t>
    </r>
    <r>
      <rPr>
        <sz val="10"/>
        <rFont val="맑은 고딕"/>
        <family val="0"/>
        <charset val="1"/>
      </rPr>
      <t xml:space="preserve">' + 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캐릭터의 잔고만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월중 언제든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매월 말일까지 취소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</si>
  <si>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정산률로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</si>
  <si>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인증 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출금 신청 또는 포인트 전환 중 선택</t>
    </r>
  </si>
  <si>
    <r>
      <rPr>
        <sz val="10"/>
        <rFont val="WenQuanYi Zen Hei"/>
        <family val="2"/>
      </rPr>
      <t xml:space="preserve">미확인 — 문서에는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크레딧은 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명시되고 현금 출금 언급이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처럼 플랫폼 재화 순환에 그칠 가능성을 배제할 수 없음</t>
    </r>
  </si>
  <si>
    <r>
      <rPr>
        <sz val="10"/>
        <rFont val="WenQuanYi Zen Hei"/>
        <family val="2"/>
      </rPr>
      <t xml:space="preserve">크리에이터 단계는 불가 — 포인트를 콘으로 교환만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크리에이터부터 현금 출금 가능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</si>
  <si>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</si>
  <si>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</si>
  <si>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</si>
  <si>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</si>
  <si>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</si>
  <si>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</si>
  <si>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</si>
  <si>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</si>
  <si>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산출 불가 — 기준 요율과 유저 결제 단가가 모두 미공개</t>
  </si>
  <si>
    <r>
      <rPr>
        <sz val="10"/>
        <rFont val="WenQuanYi Zen Hei"/>
        <family val="2"/>
      </rPr>
      <t xml:space="preserve">산출에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↔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비율이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가설이 맞다면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는 유저 실지불액 대비 </t>
    </r>
    <r>
      <rPr>
        <sz val="10"/>
        <rFont val="맑은 고딕"/>
        <family val="0"/>
        <charset val="1"/>
      </rPr>
      <t xml:space="preserve">16.3~18.8%, </t>
    </r>
    <r>
      <rPr>
        <sz val="10"/>
        <rFont val="WenQuanYi Zen Hei"/>
        <family val="2"/>
      </rPr>
      <t xml:space="preserve">최대치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23.9~27.5%</t>
    </r>
  </si>
  <si>
    <r>
      <rPr>
        <sz val="10"/>
        <rFont val="WenQuanYi Zen Hei"/>
        <family val="2"/>
      </rPr>
      <t xml:space="preserve">리프로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8.0%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80.0%
</t>
    </r>
    <r>
      <rPr>
        <sz val="10"/>
        <rFont val="WenQuanYi Zen Hei"/>
        <family val="2"/>
      </rPr>
      <t xml:space="preserve">현금으로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6.84%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10.26%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68.42%</t>
    </r>
  </si>
  <si>
    <t xml:space="preserve">산출 불가 — 캐롯의 원화 단가 미확인</t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</si>
  <si>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모수와 단가가 모두 명확해 유저 결제액 대비 비율이 그대로 성립</t>
    </r>
  </si>
  <si>
    <t xml:space="preserve">산출 불가 — 모수와 재화 단가가 모두 미확인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</si>
  <si>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단 마일리지→리워드 전환 비율과 재화 단가가 미확인이라 확정 불가</t>
    </r>
  </si>
  <si>
    <t xml:space="preserve">산출 불가 — 포인트 원화 단가와 크레딧 교환 비율이 모두 미확인</t>
  </si>
  <si>
    <r>
      <rPr>
        <sz val="10"/>
        <rFont val="WenQuanYi Zen Hei"/>
        <family val="2"/>
      </rPr>
      <t xml:space="preserve">산출 불가 — 콘 충전 가격표 미확인</t>
    </r>
    <r>
      <rPr>
        <sz val="10"/>
        <rFont val="맑은 고딕"/>
        <family val="0"/>
        <charset val="1"/>
      </rPr>
      <t xml:space="preserve">.
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6</t>
    </r>
    <r>
      <rPr>
        <sz val="10"/>
        <rFont val="WenQuanYi Zen Hei"/>
        <family val="2"/>
      </rPr>
      <t xml:space="preserve">원이면 멜팅온리 실질 </t>
    </r>
    <r>
      <rPr>
        <sz val="10"/>
        <rFont val="맑은 고딕"/>
        <family val="0"/>
        <charset val="1"/>
      </rPr>
      <t xml:space="preserve">3%, 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원이면 </t>
    </r>
    <r>
      <rPr>
        <sz val="10"/>
        <rFont val="맑은 고딕"/>
        <family val="0"/>
        <charset val="1"/>
      </rPr>
      <t xml:space="preserve">18%</t>
    </r>
    <r>
      <rPr>
        <sz val="10"/>
        <rFont val="WenQuanYi Zen Hei"/>
        <family val="2"/>
      </rPr>
      <t xml:space="preserve">로 크게 갈림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</si>
  <si>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</si>
  <si>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</si>
  <si>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</si>
  <si>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</si>
  <si>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</si>
  <si>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위프 정산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</si>
  <si>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</si>
  <si>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리프 교환 </t>
    </r>
    <r>
      <rPr>
        <sz val="10"/>
        <rFont val="맑은 고딕"/>
        <family val="0"/>
        <charset val="1"/>
      </rPr>
      <t xml:space="preserve">1,000 (100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</si>
  <si>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</si>
  <si>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</si>
  <si>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</si>
  <si>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</si>
  <si>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</si>
  <si>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</si>
  <si>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 지급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추가 지급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버튼 클릭 후 채널톡으로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지급 신청 완료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메시지까지 보내야 최종 접수</t>
    </r>
  </si>
  <si>
    <r>
      <rPr>
        <sz val="10"/>
        <rFont val="WenQuanYi Zen Hei"/>
        <family val="2"/>
      </rPr>
      <t xml:space="preserve">정산 자체는 실시간 업데이트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출금은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</si>
  <si>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적립은 매일 새벽 자동 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현금은 신청 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</si>
  <si>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지속적으로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서술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</si>
  <si>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출금 가능 수익은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정산 지연이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개월로 조사 대상 중 가장 긴 편</t>
    </r>
  </si>
  <si>
    <t xml:space="preserve">매월 초 전월 데이터를 집계하여 산출</t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</si>
  <si>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</si>
  <si>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</si>
  <si>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</si>
  <si>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</si>
  <si>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</si>
  <si>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</si>
  <si>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r>
      <rPr>
        <sz val="10"/>
        <rFont val="WenQuanYi Zen Hei"/>
        <family val="2"/>
      </rPr>
      <t xml:space="preserve">타이틀 작가 등급 신청 후 승인 시점부터 혜택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누적 대화량 </t>
    </r>
    <r>
      <rPr>
        <sz val="10"/>
        <rFont val="맑은 고딕"/>
        <family val="0"/>
        <charset val="1"/>
      </rPr>
      <t xml:space="preserve">50K +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
※ 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</si>
  <si>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시즌 유료 턴 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이상이면 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진입 — 사실상 문턱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티어는 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</si>
  <si>
    <r>
      <rPr>
        <sz val="10"/>
        <rFont val="WenQuanYi Zen Hei"/>
        <family val="2"/>
      </rPr>
      <t xml:space="preserve">적립 자체는 조건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 정산 자격은 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신청 시 모든 공개 캐릭터가 자동 편입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 미만 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캐릭터별 신청도 가능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</si>
  <si>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인증 크리에이터 자격 조건도 미공개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</si>
  <si>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 작품 등록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 창구는 이미 닫혔으며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등록 제작자의 정산률은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미공지</t>
    </r>
  </si>
  <si>
    <r>
      <rPr>
        <sz val="10"/>
        <rFont val="WenQuanYi Zen Hei"/>
        <family val="2"/>
      </rPr>
      <t xml:space="preserve">누적 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 달성 시 크리에이터 자격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본인인증한 성인만 — 미성년자는 애셋 제작은 가능하나 크리에이터 제도 이용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제도 도입 이전</t>
    </r>
    <r>
      <rPr>
        <sz val="10"/>
        <rFont val="맑은 고딕"/>
        <family val="0"/>
        <charset val="1"/>
      </rPr>
      <t xml:space="preserve">(26.06.25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리워드 수익 이력이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원이라도 있던 유저는 자격 자동 부여</t>
    </r>
  </si>
  <si>
    <t xml:space="preserve">미확인 — 크리에이터 자격 조건이 공개돼 있지 않음</t>
  </si>
  <si>
    <r>
      <rPr>
        <sz val="10"/>
        <rFont val="WenQuanYi Zen Hei"/>
        <family val="2"/>
      </rPr>
      <t xml:space="preserve">크리에이터 단계 진입에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필요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라이징은 매월 공모전</t>
    </r>
    <r>
      <rPr>
        <sz val="10"/>
        <rFont val="맑은 고딕"/>
        <family val="0"/>
        <charset val="1"/>
      </rPr>
      <t xml:space="preserve">([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])</t>
    </r>
    <r>
      <rPr>
        <sz val="10"/>
        <rFont val="WenQuanYi Zen Hei"/>
        <family val="2"/>
      </rPr>
      <t xml:space="preserve">에서 멜팅이 선정 — 호감도모드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동일 크리에이터 기준 최대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개까지 선정 가능</t>
    </r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</si>
  <si>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</si>
  <si>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</si>
  <si>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</si>
  <si>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</si>
  <si>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</si>
  <si>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제작자 본인 채팅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 점수 증감 말풍선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수익화 기준은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 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채팅량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캐릭터 상세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작가 페이지의 총 채팅량과 다를 수 있음</t>
    </r>
  </si>
  <si>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</t>
    </r>
  </si>
  <si>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보상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선물받은 리프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리프 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본인이 자기 캐릭터를 사용한 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</si>
  <si>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캐롯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기준이므로 무료 캐롯은 제외되는 것으로 보이나 명시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</si>
  <si>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스텔라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무료 스텔라 처리는 명시 없음</t>
    </r>
  </si>
  <si>
    <r>
      <rPr>
        <sz val="10"/>
        <rFont val="WenQuanYi Zen Hei"/>
        <family val="2"/>
      </rPr>
      <t xml:space="preserve">공개된 애셋만 정산 — 비공개 애셋과의 대화는 정산되지 않음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서사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테마는 대화 수가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대화의 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테마 사용 비중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따라 안분 정산</t>
    </r>
  </si>
  <si>
    <r>
      <rPr>
        <sz val="10"/>
        <rFont val="WenQuanYi Zen Hei"/>
        <family val="2"/>
      </rPr>
      <t xml:space="preserve">무료 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사용한 콘</t>
    </r>
  </si>
  <si>
    <t xml:space="preserve">본인 대화 적립</t>
  </si>
  <si>
    <t xml:space="preserve">불가</t>
  </si>
  <si>
    <t xml:space="preserve">가능 — 본인이 본인 작품에 사용한 프로챗도 적립</t>
  </si>
  <si>
    <t xml:space="preserve">가능 — 내가 만든 애셋과의 유료 대화 수익도 정산 내역에 포함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</si>
  <si>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</si>
  <si>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</si>
  <si>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</si>
  <si>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</si>
  <si>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월간 지급 위프는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
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 해지는 아님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복귀 후 새 캐릭터 공개 시 재개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</si>
  <si>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단위이며 시즌 보상은 시즌 종료 시점 티어 기준으로 지급</t>
    </r>
  </si>
  <si>
    <r>
      <rPr>
        <sz val="10"/>
        <rFont val="WenQuanYi Zen Hei"/>
        <family val="2"/>
      </rPr>
      <t xml:space="preserve">소멸 없음 —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미만 잔고도 기한 없이 계속 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적립되며 리프 교환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으로는 언제든 사용 가능</t>
    </r>
  </si>
  <si>
    <t xml:space="preserve">리워드는 계정 유지 시에만 지급 — 회원 탈퇴 시 지급되지 않음</t>
  </si>
  <si>
    <r>
      <rPr>
        <sz val="10"/>
        <rFont val="WenQuanYi Zen Hei"/>
        <family val="2"/>
      </rPr>
      <t xml:space="preserve">적립 포인트는 자격 해지 시에도 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</si>
  <si>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</si>
  <si>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</si>
  <si>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</si>
  <si>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</si>
  <si>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</si>
  <si>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잠금 이미지 열람 수익은 정산 대상에 포함</t>
    </r>
  </si>
  <si>
    <r>
      <rPr>
        <sz val="10"/>
        <rFont val="WenQuanYi Zen Hei"/>
        <family val="2"/>
      </rPr>
      <t xml:space="preserve">팬 후원 시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</si>
  <si>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이미지 해금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첫 장면 해금이 부가 수익원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</si>
  <si>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</si>
  <si>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</si>
  <si>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</si>
  <si>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</si>
  <si>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</si>
  <si>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</si>
  <si>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</si>
  <si>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</si>
  <si>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</si>
  <si>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오리지널만 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저작권 구매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</si>
  <si>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리프 교환은 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전자계약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필요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</si>
  <si>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신청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창작자 이용약관 동의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인증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</si>
  <si>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크리에이터는 셀프 신청</t>
    </r>
  </si>
  <si>
    <r>
      <rPr>
        <sz val="10"/>
        <rFont val="WenQuanYi Zen Hei"/>
        <family val="2"/>
      </rPr>
      <t xml:space="preserve">파트너는 혜택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의무 및 글로벌 서비스 제공에 관한 동의 절차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앰배서더는 파트너십 계약 체결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</si>
  <si>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</si>
  <si>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</si>
  <si>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</si>
  <si>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</si>
  <si>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</si>
  <si>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글로벌 진출 동의 캐릭터도 동일 기준으로 정산에 포함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</si>
  <si>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 시 본인 명의 계좌 확인 필요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</si>
  <si>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등록 필요</t>
    </r>
  </si>
  <si>
    <t xml:space="preserve">해외에서 글로벌 공개 애셋에 대한 유료 대화가 발생하면 해외 리워드로 정산되며 국내와 구분 표시 — 해외 매출도 정산 대상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</si>
  <si>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캐릭터는 다국어 번역되어 글로벌 서비스에 등록됨</t>
    </r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</si>
  <si>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</si>
  <si>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</si>
  <si>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</si>
  <si>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</si>
  <si>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</si>
  <si>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 월드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)</t>
    </r>
  </si>
  <si>
    <t xml:space="preserve">캐릭터별 독점 전환</t>
  </si>
  <si>
    <t xml:space="preserve">R ONLY</t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</si>
  <si>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(M Only)</t>
    </r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</si>
  <si>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</si>
  <si>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</si>
  <si>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</si>
  <si>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</si>
  <si>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</si>
  <si>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독점공개는 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베타 기간 중 운영팀 추천만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추후 작가 직접 신청 심사 시스템 오픈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</si>
  <si>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선택 — 자유 크리에이터가 특정 인기 캐릭터만 골라 독점</t>
    </r>
    <r>
      <rPr>
        <sz val="10"/>
        <rFont val="맑은 고딕"/>
        <family val="0"/>
        <charset val="1"/>
      </rPr>
      <t xml:space="preserve">(12%)</t>
    </r>
    <r>
      <rPr>
        <sz val="10"/>
        <rFont val="WenQuanYi Zen Hei"/>
        <family val="2"/>
      </rPr>
      <t xml:space="preserve">으로 전환 가능</t>
    </r>
  </si>
  <si>
    <r>
      <rPr>
        <sz val="10"/>
        <rFont val="WenQuanYi Zen Hei"/>
        <family val="2"/>
      </rPr>
      <t xml:space="preserve">라이징 캐릭터를 멜팅온리로 설정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선정이 전제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</si>
  <si>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</si>
  <si>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</si>
  <si>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계약 시 독점 조건 협의</t>
    </r>
  </si>
  <si>
    <r>
      <rPr>
        <sz val="10"/>
        <rFont val="WenQuanYi Zen Hei"/>
        <family val="2"/>
      </rPr>
      <t xml:space="preserve">자유 크리에이터 계약은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</si>
  <si>
    <t xml:space="preserve">기간 중 해제</t>
  </si>
  <si>
    <r>
      <rPr>
        <sz val="10"/>
        <rFont val="WenQuanYi Zen Hei"/>
        <family val="2"/>
      </rPr>
      <t xml:space="preserve">해제 시 즉시 종료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 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</si>
  <si>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라이징 캐릭터는 일정 기간 공개 유지 의무가 있으며</t>
    </r>
    <r>
      <rPr>
        <sz val="10"/>
        <rFont val="맑은 고딕"/>
        <family val="0"/>
        <charset val="1"/>
      </rPr>
      <t xml:space="preserve">, 2,000</t>
    </r>
    <r>
      <rPr>
        <sz val="10"/>
        <rFont val="WenQuanYi Zen Hei"/>
        <family val="2"/>
      </rPr>
      <t xml:space="preserve">콘 이상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선정일로부터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이상 노출을 모두 만족해야 비공개 전환 가능</t>
    </r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</si>
  <si>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</si>
  <si>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</si>
  <si>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</si>
  <si>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월드에 한해 티어 비율에 가산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작품에 한해 티어 비율에 가산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추가 지급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</si>
  <si>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해당 캐릭터만 </t>
    </r>
    <r>
      <rPr>
        <sz val="10"/>
        <rFont val="맑은 고딕"/>
        <family val="0"/>
        <charset val="1"/>
      </rPr>
      <t xml:space="preserve">8% → 12%</t>
    </r>
  </si>
  <si>
    <r>
      <rPr>
        <sz val="10"/>
        <rFont val="WenQuanYi Zen Hei"/>
        <family val="2"/>
      </rPr>
      <t xml:space="preserve">소모 포인트의 </t>
    </r>
    <r>
      <rPr>
        <sz val="10"/>
        <rFont val="맑은 고딕"/>
        <family val="0"/>
        <charset val="1"/>
      </rPr>
      <t xml:space="preserve">30% —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독점작 요율의 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</si>
  <si>
    <r>
      <rPr>
        <sz val="10"/>
        <rFont val="WenQuanYi Zen Hei"/>
        <family val="2"/>
      </rPr>
      <t xml:space="preserve">기존 인센티브 포인트의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추가 → 유료 콘의 </t>
    </r>
    <r>
      <rPr>
        <sz val="10"/>
        <rFont val="맑은 고딕"/>
        <family val="0"/>
        <charset val="1"/>
      </rPr>
      <t xml:space="preserve">1.5% (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3%). </t>
    </r>
    <r>
      <rPr>
        <sz val="10"/>
        <rFont val="WenQuanYi Zen Hei"/>
        <family val="2"/>
      </rPr>
      <t xml:space="preserve">이미지 해금도 건당 </t>
    </r>
    <r>
      <rPr>
        <sz val="10"/>
        <rFont val="맑은 고딕"/>
        <family val="0"/>
        <charset val="1"/>
      </rPr>
      <t xml:space="preserve">1 → 1.5</t>
    </r>
    <r>
      <rPr>
        <sz val="10"/>
        <rFont val="WenQuanYi Zen Hei"/>
        <family val="2"/>
      </rPr>
      <t xml:space="preserve">포인트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</si>
  <si>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</si>
  <si>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</si>
  <si>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= 20% /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동시 적용 가능 여부는 문서상 불명</t>
    </r>
  </si>
  <si>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</t>
    </r>
  </si>
  <si>
    <r>
      <rPr>
        <sz val="10"/>
        <rFont val="WenQuanYi Zen Hei"/>
        <family val="2"/>
      </rPr>
      <t xml:space="preserve">산출 불가 — 포인트 단가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교환 비율 미확인</t>
    </r>
  </si>
  <si>
    <t xml:space="preserve">산출 불가 — 콘 충전 가격표 미확인</t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</si>
  <si>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</si>
  <si>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</si>
  <si>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</si>
  <si>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</si>
  <si>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적립률은 적립 시점 기준이라 이미 쌓인 인센티브는 소급 재계산되지 않음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</si>
  <si>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</si>
  <si>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</si>
  <si>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</si>
  <si>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또는 유사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작품의 타 플랫폼 공개를 금지</t>
    </r>
  </si>
  <si>
    <t xml:space="preserve">독점으로 전환한 캐릭터는 경쟁 서비스 신규 등록 불가</t>
  </si>
  <si>
    <r>
      <rPr>
        <sz val="10"/>
        <rFont val="WenQuanYi Zen Hei"/>
        <family val="2"/>
      </rPr>
      <t xml:space="preserve">미확인 — 명칭상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독점 공개로 보이나 범위 규정이 공개돼 있지 않음</t>
    </r>
  </si>
  <si>
    <t xml:space="preserve">미확인 — 독점 범위 규정이 문서에 없음</t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</si>
  <si>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</si>
  <si>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</si>
  <si>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</si>
  <si>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적용 기간 중 타 플랫폼에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 월드 공개하거나 해당 월드를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→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인센티브는 회수하지 않음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합의된 개선 범위 미이행 시 인센티브 지급 제외 또는 계약 해제</t>
    </r>
  </si>
  <si>
    <t xml:space="preserve">환수 조항 없음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</si>
  <si>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운영 중 캐릭터 비공개 처리 시 회수되지 않은 선지급 콘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환수될 수 있음</t>
    </r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</si>
  <si>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</si>
  <si>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</si>
  <si>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</si>
  <si>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</si>
  <si>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</si>
  <si>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</si>
  <si>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r>
      <rPr>
        <sz val="10"/>
        <rFont val="WenQuanYi Zen Hei"/>
        <family val="2"/>
      </rPr>
      <t xml:space="preserve">독점공개 배지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</si>
  <si>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t xml:space="preserve">멜팅온리 캐릭터 전용 영역 노출</t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</si>
  <si>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</si>
  <si>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</si>
  <si>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</si>
  <si>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</si>
  <si>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</si>
  <si>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WenQuanYi Zen Hei"/>
        <family val="2"/>
      </rPr>
      <t xml:space="preserve">해당 없음 — 독점은 명시적 제도로 분리되어 있고 티어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크리에이터에는 독점 조건이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</si>
  <si>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자격 해지 검토 사유 및 창작자 단계 유의사항에 포함됨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</si>
  <si>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</si>
  <si>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</si>
  <si>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</si>
  <si>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</si>
  <si>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</si>
  <si>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</si>
  <si>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</si>
  <si>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</si>
  <si>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</si>
  <si>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</si>
  <si>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</si>
  <si>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</si>
  <si>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</si>
  <si>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</si>
  <si>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</si>
  <si>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</si>
  <si>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</si>
  <si>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</si>
  <si>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</si>
  <si>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</si>
  <si>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</si>
  <si>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</si>
  <si>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</si>
  <si>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</si>
  <si>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</si>
  <si>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</si>
  <si>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</si>
  <si>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</si>
  <si>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</si>
  <si>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</si>
  <si>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</si>
  <si>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</si>
  <si>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</si>
  <si>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</si>
  <si>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</si>
  <si>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</si>
  <si>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</si>
  <si>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</si>
  <si>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</si>
  <si>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</si>
  <si>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</si>
  <si>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</si>
  <si>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</si>
  <si>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</si>
  <si>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</si>
  <si>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</si>
  <si>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</si>
  <si>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</si>
  <si>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</si>
  <si>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</si>
  <si>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</si>
  <si>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</si>
  <si>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</si>
  <si>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</si>
  <si>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</si>
  <si>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베이비챗</t>
  </si>
  <si>
    <t xml:space="preserve">전 모델 — 현금 경로 없음</t>
  </si>
  <si>
    <t xml:space="preserve">전 모델 — 정산 구조 미확인</t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</si>
  <si>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</si>
  <si>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</si>
  <si>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</si>
  <si>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전 모델 — 기준 요율 비공개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</si>
  <si>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</si>
  <si>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</si>
  <si>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</si>
  <si>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</si>
  <si>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</si>
  <si>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</si>
  <si>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같은 플랫폼 안에서 회수율이 </t>
    </r>
    <r>
      <rPr>
        <b val="true"/>
        <sz val="10"/>
        <rFont val="맑은 고딕"/>
        <family val="0"/>
        <charset val="1"/>
      </rPr>
      <t xml:space="preserve">7.5</t>
    </r>
    <r>
      <rPr>
        <b val="true"/>
        <sz val="10"/>
        <rFont val="WenQuanYi Zen Hei"/>
        <family val="2"/>
      </rPr>
      <t xml:space="preserve">배까지 차이남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</si>
  <si>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 </t>
    </r>
    <r>
      <rPr>
        <sz val="10"/>
        <rFont val="WenQuanYi Zen Hei"/>
        <family val="2"/>
      </rPr>
      <t xml:space="preserve">깃털 → 크리에이터 </t>
    </r>
    <r>
      <rPr>
        <sz val="10"/>
        <rFont val="맑은 고딕"/>
        <family val="0"/>
        <charset val="1"/>
      </rPr>
      <t xml:space="preserve">250pt (150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0.500pt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</si>
  <si>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100pt (60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0.333pt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</si>
  <si>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8pt (4.8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0.100pt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</si>
  <si>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10pt (6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0.067pt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</si>
  <si>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</si>
  <si>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</si>
  <si>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</si>
  <si>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</si>
  <si>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</si>
  <si>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</si>
  <si>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</si>
  <si>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</si>
  <si>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</si>
  <si>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</si>
  <si>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</si>
  <si>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</si>
  <si>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</si>
  <si>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</si>
  <si>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</si>
  <si>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</si>
  <si>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b val="true"/>
        <sz val="10"/>
        <rFont val="WenQuanYi Zen Hei"/>
        <family val="2"/>
      </rPr>
      <t xml:space="preserve">위프 — 유료 채팅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잠금 이미지</t>
    </r>
  </si>
  <si>
    <r>
      <rPr>
        <sz val="10"/>
        <rFont val="WenQuanYi Zen Hei"/>
        <family val="2"/>
      </rPr>
      <t xml:space="preserve">정산 대상 채팅 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범위는 명시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요율은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</si>
  <si>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루키 기준 요율 비공개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</si>
  <si>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둠칫 — 월드 쿠키 사용액</t>
  </si>
  <si>
    <r>
      <rPr>
        <sz val="10"/>
        <rFont val="WenQuanYi Zen Hei"/>
        <family val="2"/>
      </rPr>
      <t xml:space="preserve">다른 사용자가 내 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</si>
  <si>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 +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또는 오리지널 </t>
    </r>
    <r>
      <rPr>
        <sz val="10"/>
        <rFont val="맑은 고딕"/>
        <family val="0"/>
        <charset val="1"/>
      </rPr>
      <t xml:space="preserve">5% →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</si>
  <si>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티팟 — 유료 리프 사용액</t>
  </si>
  <si>
    <r>
      <rPr>
        <sz val="10"/>
        <rFont val="WenQuanYi Zen Hei"/>
        <family val="2"/>
      </rPr>
      <t xml:space="preserve">다른 유저가 내 캐릭터에 사용한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</si>
  <si>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/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</si>
  <si>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t xml:space="preserve">유니챗 — 유료 스텔라 사용량</t>
  </si>
  <si>
    <r>
      <rPr>
        <sz val="10"/>
        <rFont val="WenQuanYi Zen Hei"/>
        <family val="2"/>
      </rPr>
      <t xml:space="preserve">유료 스텔라 사용량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</si>
  <si>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). 2026.07.01~2028.06.30 2</t>
    </r>
    <r>
      <rPr>
        <sz val="10"/>
        <rFont val="WenQuanYi Zen Hei"/>
        <family val="2"/>
      </rPr>
      <t xml:space="preserve">년 확약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초기 제작자 한정</t>
    </r>
  </si>
  <si>
    <t xml:space="preserve">우마이 — 유료 캐롯 소모액</t>
  </si>
  <si>
    <r>
      <rPr>
        <sz val="10"/>
        <rFont val="WenQuanYi Zen Hei"/>
        <family val="2"/>
      </rPr>
      <t xml:space="preserve">작품에 소모된 유료 캐롯 총액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</si>
  <si>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8%(~12%) —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</si>
  <si>
    <t xml:space="preserve">팅글 — 애셋 유료 대화 수익</t>
  </si>
  <si>
    <r>
      <rPr>
        <sz val="10"/>
        <rFont val="WenQuanYi Zen Hei"/>
        <family val="2"/>
      </rPr>
      <t xml:space="preserve">애셋의 유료 대화 수익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</si>
  <si>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일반 크리에이터 기준 최고 표기 수치</t>
    </r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</si>
  <si>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— </t>
    </r>
    <r>
      <rPr>
        <b val="true"/>
        <sz val="10"/>
        <rFont val="WenQuanYi Zen Hei"/>
        <family val="2"/>
      </rPr>
      <t xml:space="preserve">캐릭터 소모 포인트</t>
    </r>
  </si>
  <si>
    <r>
      <rPr>
        <sz val="10"/>
        <rFont val="WenQuanYi Zen Hei"/>
        <family val="2"/>
      </rPr>
      <t xml:space="preserve">내가 만든 캐릭터에 소모된 포인트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</si>
  <si>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 — </t>
    </r>
    <r>
      <rPr>
        <sz val="10"/>
        <rFont val="WenQuanYi Zen Hei"/>
        <family val="2"/>
      </rPr>
      <t xml:space="preserve">독점작 요율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현금화 여부 미확인</t>
    </r>
  </si>
  <si>
    <t xml:space="preserve">멜팅 — 라이징 캐릭터 유료 콘</t>
  </si>
  <si>
    <r>
      <rPr>
        <sz val="10"/>
        <rFont val="WenQuanYi Zen Hei"/>
        <family val="2"/>
      </rPr>
      <t xml:space="preserve">유저가 라이징 캐릭터와 소비한 유료 콘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</si>
  <si>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1%(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)·2%(</t>
    </r>
    <r>
      <rPr>
        <sz val="10"/>
        <rFont val="WenQuanYi Zen Hei"/>
        <family val="2"/>
      </rPr>
      <t xml:space="preserve">콘 환산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1.5%·3%. </t>
    </r>
    <r>
      <rPr>
        <sz val="10"/>
        <rFont val="WenQuanYi Zen Hei"/>
        <family val="2"/>
      </rPr>
      <t xml:space="preserve">첫 장면 해금은 유료 콘의 </t>
    </r>
    <r>
      <rPr>
        <sz val="10"/>
        <rFont val="맑은 고딕"/>
        <family val="0"/>
        <charset val="1"/>
      </rPr>
      <t xml:space="preserve">25%</t>
    </r>
  </si>
  <si>
    <t xml:space="preserve">이세계트럭 — 미확인</t>
  </si>
  <si>
    <t xml:space="preserve">모수 미명시</t>
  </si>
  <si>
    <r>
      <rPr>
        <sz val="10"/>
        <rFont val="맑은 고딕"/>
        <family val="0"/>
        <charset val="1"/>
      </rPr>
      <t xml:space="preserve">10% ('</t>
    </r>
    <r>
      <rPr>
        <sz val="10"/>
        <rFont val="WenQuanYi Zen Hei"/>
        <family val="2"/>
      </rPr>
      <t xml:space="preserve">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미확인</t>
    </r>
    <r>
      <rPr>
        <sz val="10"/>
        <rFont val="맑은 고딕"/>
        <family val="0"/>
        <charset val="1"/>
      </rPr>
      <t xml:space="preserve">)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</si>
  <si>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</si>
  <si>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</si>
  <si>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</si>
  <si>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</si>
  <si>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</si>
  <si>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</si>
  <si>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</si>
  <si>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</si>
  <si>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</si>
  <si>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</si>
  <si>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</si>
  <si>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</si>
  <si>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</si>
  <si>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</si>
  <si>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</si>
  <si>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</si>
  <si>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</si>
  <si>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</si>
  <si>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</si>
  <si>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</si>
  <si>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</si>
  <si>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</si>
  <si>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</si>
  <si>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</si>
  <si>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</si>
  <si>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</si>
  <si>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</si>
  <si>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</si>
  <si>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</si>
  <si>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</si>
  <si>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</si>
  <si>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</si>
  <si>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</si>
  <si>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</si>
  <si>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</si>
  <si>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</si>
  <si>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</si>
  <si>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</si>
  <si>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</si>
  <si>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</si>
  <si>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</si>
  <si>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</si>
  <si>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t xml:space="preserve">1.0~2.3%</t>
  </si>
  <si>
    <t xml:space="preserve">미공개 — 전환 비율만 표기하고 실질 수치는 밝히지 않음</t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</si>
  <si>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</si>
  <si>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</si>
  <si>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</si>
  <si>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</si>
  <si>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</si>
  <si>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</si>
  <si>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</si>
  <si>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</si>
  <si>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</si>
  <si>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</si>
  <si>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</si>
  <si>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</si>
  <si>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</si>
  <si>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</si>
  <si>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</si>
  <si>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</si>
  <si>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</si>
  <si>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</si>
  <si>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</si>
  <si>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</si>
  <si>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</si>
  <si>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</si>
  <si>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</si>
  <si>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</si>
  <si>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</si>
  <si>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t xml:space="preserve">정산률 변경 리스크 — 크리에이터가 조건 유지를 믿을 수 있는가</t>
  </si>
  <si>
    <r>
      <rPr>
        <i val="true"/>
        <sz val="9"/>
        <color rgb="FF595959"/>
        <rFont val="WenQuanYi Zen Hei"/>
        <family val="2"/>
      </rPr>
      <t xml:space="preserve">대부분의 플랫폼이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사전 고지 없이 변경 가능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을 명시합니다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기간을 못 박아 확약한 곳은 유니챗 하나뿐입니다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</si>
  <si>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성격</t>
  </si>
  <si>
    <t xml:space="preserve">원문 취지</t>
  </si>
  <si>
    <t xml:space="preserve">기간 확약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</si>
  <si>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초기 제작자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 조건은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')</t>
    </r>
  </si>
  <si>
    <t xml:space="preserve">변경 가능</t>
  </si>
  <si>
    <t xml:space="preserve">본 안내에 명시된 정책 및 혜택은 서비스 운영 상황에 따라 사전 고지 없이 변경될 수 있습니다</t>
  </si>
  <si>
    <t xml:space="preserve">본 정책은 서비스 운영 상황에 따라 사전 고지 없이 변경되거나 종료될 수 있습니다</t>
  </si>
  <si>
    <r>
      <rPr>
        <sz val="10"/>
        <rFont val="WenQuanYi Zen Hei"/>
        <family val="2"/>
      </rPr>
      <t xml:space="preserve">회사는 운영 사정에 따라 수익 분배 프로그램을 변경하거나 중단할 수 있습니다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발생 수익에는 영향 없음</t>
    </r>
    <r>
      <rPr>
        <sz val="10"/>
        <rFont val="맑은 고딕"/>
        <family val="0"/>
        <charset val="1"/>
      </rPr>
      <t xml:space="preserve">)</t>
    </r>
  </si>
  <si>
    <t xml:space="preserve">유료 채팅 당 지급 크레딧은 모델 제공사의 가격 정책이나 환율 변동 등 외부 요인에 따라 조정될 수 있습니다</t>
  </si>
  <si>
    <r>
      <rPr>
        <sz val="10"/>
        <rFont val="WenQuanYi Zen Hei"/>
        <family val="2"/>
      </rPr>
      <t xml:space="preserve">언어 모델은 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또는 삭제가 이루어질 수 있습니다</t>
    </r>
  </si>
  <si>
    <t xml:space="preserve">이용자 수 증가에 따라 추후 승급 조건 또는 등급 종류 변동 가능</t>
  </si>
  <si>
    <r>
      <rPr>
        <sz val="10"/>
        <rFont val="WenQuanYi Zen Hei"/>
        <family val="2"/>
      </rPr>
      <t xml:space="preserve">변경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 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</si>
  <si>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상기 명시된 조건은 변경되거나 삭제될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변경 시 공식 크리에이터에게 별도 안내</t>
    </r>
  </si>
  <si>
    <t xml:space="preserve">확정 전</t>
  </si>
  <si>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진행될 예정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현재 예정된 정산율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시행 전 또는 확정 전 단계</t>
    </r>
  </si>
  <si>
    <t xml:space="preserve">한시 이벤트</t>
  </si>
  <si>
    <r>
      <rPr>
        <sz val="10"/>
        <rFont val="WenQuanYi Zen Hei"/>
        <family val="2"/>
      </rPr>
      <t xml:space="preserve">일반 크리에이터 대상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</si>
  <si>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환수 조항 — 이미 적립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지급된 정산을 회수하는가</t>
    </r>
  </si>
  <si>
    <r>
      <rPr>
        <i val="true"/>
        <sz val="9"/>
        <color rgb="FF595959"/>
        <rFont val="WenQuanYi Zen Hei"/>
        <family val="2"/>
      </rPr>
      <t xml:space="preserve">범위가 넓을수록 크리에이터의 심리적 진입장벽이 커집니다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절제 수준이 플랫폼마다 크게 다릅니다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</si>
  <si>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범위</t>
  </si>
  <si>
    <t xml:space="preserve">내용</t>
  </si>
  <si>
    <t xml:space="preserve">광범위</t>
  </si>
  <si>
    <r>
      <rPr>
        <sz val="10"/>
        <rFont val="WenQuanYi Zen Hei"/>
        <family val="2"/>
      </rPr>
      <t xml:space="preserve">공식 크리에이터 제한 사항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전액 회수</t>
    </r>
  </si>
  <si>
    <r>
      <rPr>
        <sz val="10"/>
        <rFont val="WenQuanYi Zen Hei"/>
        <family val="2"/>
      </rPr>
      <t xml:space="preserve">제작 규정 위반으로 블락 처리된 애셋은 블락 처리 전 발생한 수익까지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별도로 유저가 유료 재화를 환불하면 분배됐던 정산 수익이 감소</t>
    </r>
  </si>
  <si>
    <t xml:space="preserve">한정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</si>
  <si>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침해 콘텐츠와 직접 연관된 수익만 대상이며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</si>
  <si>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t xml:space="preserve">최소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</si>
  <si>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</si>
  <si>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</si>
  <si>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정책 반복 위반 등은 정산 제한 사유이나 소급 회수 조항은 명시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</si>
  <si>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해지해도 잔고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재계약 시 전액 다시 정산 가능</t>
    </r>
  </si>
  <si>
    <t xml:space="preserve">그 외</t>
  </si>
  <si>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</si>
  <si>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독점작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작품 단위 독점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요율 — 일반 대비 배수</t>
    </r>
  </si>
  <si>
    <r>
      <rPr>
        <i val="true"/>
        <sz val="9"/>
        <color rgb="FF595959"/>
        <rFont val="WenQuanYi Zen Hei"/>
        <family val="2"/>
      </rPr>
      <t xml:space="preserve">크리에이터 전체를 묶지 않고 작품 하나만 독점으로 거는 제도의 보상 수준입니다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크플이 작품 단위 독점을 검토한다면 이 표가 기준선입니다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</si>
  <si>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배수</t>
  </si>
  <si>
    <t xml:space="preserve">비고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</si>
  <si>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</t>
    </r>
  </si>
  <si>
    <t xml:space="preserve">R ONLY 30%</t>
  </si>
  <si>
    <r>
      <rPr>
        <sz val="10"/>
        <rFont val="맑은 고딕"/>
        <family val="0"/>
        <charset val="1"/>
      </rPr>
      <t xml:space="preserve">3.0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</si>
  <si>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 출금 가능 여부가 미확인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</si>
  <si>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</si>
  <si>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</si>
  <si>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맑은 고딕"/>
        <family val="0"/>
        <charset val="1"/>
      </rPr>
      <t xml:space="preserve">2~4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</si>
  <si>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집중 퍼블리싱으로 승격 시 </t>
    </r>
    <r>
      <rPr>
        <sz val="10"/>
        <rFont val="맑은 고딕"/>
        <family val="0"/>
        <charset val="1"/>
      </rPr>
      <t xml:space="preserve">20~50%. </t>
    </r>
    <r>
      <rPr>
        <sz val="10"/>
        <rFont val="WenQuanYi Zen Hei"/>
        <family val="2"/>
      </rPr>
      <t xml:space="preserve">운영팀 선정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별도 계약</t>
    </r>
  </si>
  <si>
    <t xml:space="preserve">8%</t>
  </si>
  <si>
    <r>
      <rPr>
        <sz val="10"/>
        <rFont val="WenQuanYi Zen Hei"/>
        <family val="2"/>
      </rPr>
      <t xml:space="preserve">캐릭터별 독점 전환 </t>
    </r>
    <r>
      <rPr>
        <sz val="10"/>
        <rFont val="맑은 고딕"/>
        <family val="0"/>
        <charset val="1"/>
      </rPr>
      <t xml:space="preserve">12%</t>
    </r>
  </si>
  <si>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</si>
  <si>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 계약을 유지한 채 인기작만 전환 가능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</si>
  <si>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</si>
  <si>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+3%p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+5%p</t>
    </r>
  </si>
  <si>
    <t xml:space="preserve">가산형</t>
  </si>
  <si>
    <r>
      <rPr>
        <sz val="10"/>
        <rFont val="WenQuanYi Zen Hei"/>
        <family val="2"/>
      </rPr>
      <t xml:space="preserve">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셀프 등록 불가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</si>
  <si>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</si>
  <si>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맑은 고딕"/>
        <family val="0"/>
        <charset val="1"/>
      </rPr>
      <t xml:space="preserve">B Only 11~20% (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+3%p)</t>
    </r>
  </si>
  <si>
    <r>
      <rPr>
        <sz val="10"/>
        <rFont val="맑은 고딕"/>
        <family val="0"/>
        <charset val="1"/>
      </rPr>
      <t xml:space="preserve">1.1~1.5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</si>
  <si>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프로챗 전환 후 실질은 </t>
    </r>
    <r>
      <rPr>
        <sz val="10"/>
        <rFont val="맑은 고딕"/>
        <family val="0"/>
        <charset val="1"/>
      </rPr>
      <t xml:space="preserve">1.0~2.3%</t>
    </r>
  </si>
  <si>
    <t xml:space="preserve">채팅당 정액</t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</si>
  <si>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+1pt</t>
    </r>
  </si>
  <si>
    <t xml:space="preserve">+5~25%</t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</si>
  <si>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고급 모델일수록 가산율이 낮음</t>
    </r>
  </si>
  <si>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</t>
    </r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</si>
  <si>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</t>
    </r>
  </si>
  <si>
    <t xml:space="preserve">라이징 선정이 전제 — 매월 공모전에서 멜팅이 선정한 캐릭터만 대상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</si>
  <si>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작품 단위 독점 제도 자체가 없는 곳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(19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</t>
    </r>
  </si>
  <si>
    <t xml:space="preserve">현금화 게이트 — 크리에이터가 실제로 돈을 받을 수 있는가</t>
  </si>
  <si>
    <r>
      <rPr>
        <i val="true"/>
        <sz val="9"/>
        <color rgb="FF595959"/>
        <rFont val="WenQuanYi Zen Hei"/>
        <family val="2"/>
      </rPr>
      <t xml:space="preserve">정산율만큼이나 중요한 축</t>
    </r>
    <r>
      <rPr>
        <i val="true"/>
        <sz val="9"/>
        <color rgb="FF595959"/>
        <rFont val="맑은 고딕"/>
        <family val="0"/>
        <charset val="1"/>
      </rPr>
      <t xml:space="preserve">. 19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곳이 현금화를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인증 뒤에 두거나 아예 막아두었습니다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</si>
  <si>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조건</t>
  </si>
  <si>
    <r>
      <rPr>
        <sz val="10"/>
        <rFont val="WenQuanYi Zen Hei"/>
        <family val="2"/>
      </rPr>
      <t xml:space="preserve">베리는 현금 경로 자체가 없음 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</t>
    </r>
  </si>
  <si>
    <r>
      <rPr>
        <sz val="10"/>
        <rFont val="WenQuanYi Zen Hei"/>
        <family val="2"/>
      </rPr>
      <t xml:space="preserve">기프티콘 교환만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</t>
    </r>
  </si>
  <si>
    <t xml:space="preserve">등급 게이트</t>
  </si>
  <si>
    <r>
      <rPr>
        <sz val="10"/>
        <rFont val="WenQuanYi Zen Hei"/>
        <family val="2"/>
      </rPr>
      <t xml:space="preserve">루키는 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이상만 현금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루키 시절 적립분은 승급 후에도 현금화 불가</t>
    </r>
  </si>
  <si>
    <r>
      <rPr>
        <sz val="10"/>
        <rFont val="WenQuanYi Zen Hei"/>
        <family val="2"/>
      </rPr>
      <t xml:space="preserve">크리에이터 단계는 포인트를 콘으로 교환만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단계째인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부터 —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필요</t>
    </r>
  </si>
  <si>
    <t xml:space="preserve">인증 게이트</t>
  </si>
  <si>
    <r>
      <rPr>
        <sz val="10"/>
        <rFont val="WenQuanYi Zen Hei"/>
        <family val="2"/>
      </rPr>
      <t xml:space="preserve">일반 유저는 포인트 적립만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후에만 현금 인출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</si>
  <si>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</si>
  <si>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</si>
  <si>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 지급</t>
    </r>
  </si>
  <si>
    <t xml:space="preserve">부분 가능</t>
  </si>
  <si>
    <r>
      <rPr>
        <sz val="10"/>
        <rFont val="WenQuanYi Zen Hei"/>
        <family val="2"/>
      </rPr>
      <t xml:space="preserve">젠잇 튜닝 모델 정산분만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 정산분은 젤리로 지급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</si>
  <si>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</si>
  <si>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 미확인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</si>
  <si>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</si>
  <si>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루나톡 포인트의 현금화 여부 불명</t>
    </r>
  </si>
  <si>
    <t xml:space="preserve">이벤트 정산의 지급 형태 불명</t>
  </si>
  <si>
    <t xml:space="preserve">둠칫 — 쿠키 충전 가격 구조</t>
  </si>
  <si>
    <r>
      <rPr>
        <i val="true"/>
        <sz val="9"/>
        <color rgb="FF595959"/>
        <rFont val="WenQuanYi Zen Hei"/>
        <family val="2"/>
      </rPr>
      <t xml:space="preserve">정가는 보너스 포함 총 쿠키 </t>
    </r>
    <r>
      <rPr>
        <i val="true"/>
        <sz val="9"/>
        <color rgb="FF595959"/>
        <rFont val="맑은 고딕"/>
        <family val="0"/>
        <charset val="1"/>
      </rPr>
      <t xml:space="preserve">× 12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실지불은 유료 쿠키 기준 전 구간 </t>
    </r>
    <r>
      <rPr>
        <i val="true"/>
        <sz val="9"/>
        <color rgb="FF595959"/>
        <rFont val="맑은 고딕"/>
        <family val="0"/>
        <charset val="1"/>
      </rPr>
      <t xml:space="preserve">11.04</t>
    </r>
    <r>
      <rPr>
        <i val="true"/>
        <sz val="9"/>
        <color rgb="FF595959"/>
        <rFont val="WenQuanYi Zen Hei"/>
        <family val="2"/>
      </rPr>
      <t xml:space="preserve">원으로 완전히 동일하며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할인율 차이는 전부 보너스 쿠키로 구현됩니다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</si>
  <si>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팩</t>
  </si>
  <si>
    <t xml:space="preserve">유료 쿠키</t>
  </si>
  <si>
    <t xml:space="preserve">보너스</t>
  </si>
  <si>
    <t xml:space="preserve">총 쿠키</t>
  </si>
  <si>
    <t xml:space="preserve">정가</t>
  </si>
  <si>
    <t xml:space="preserve">할인가</t>
  </si>
  <si>
    <t xml:space="preserve">유료쿠키당</t>
  </si>
  <si>
    <t xml:space="preserve">총쿠키당</t>
  </si>
  <si>
    <r>
      <rPr>
        <b val="true"/>
        <sz val="10"/>
        <rFont val="맑은 고딕"/>
        <family val="0"/>
        <charset val="1"/>
      </rPr>
      <t xml:space="preserve">250</t>
    </r>
    <r>
      <rPr>
        <b val="true"/>
        <sz val="1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</si>
  <si>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+50</t>
    </r>
  </si>
  <si>
    <r>
      <rPr>
        <b val="true"/>
        <sz val="10"/>
        <rFont val="맑은 고딕"/>
        <family val="0"/>
        <charset val="1"/>
      </rPr>
      <t xml:space="preserve">1,000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+100</t>
    </r>
  </si>
  <si>
    <r>
      <rPr>
        <b val="true"/>
        <sz val="10"/>
        <rFont val="맑은 고딕"/>
        <family val="0"/>
        <charset val="1"/>
      </rPr>
      <t xml:space="preserve">2,500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+300</t>
    </r>
  </si>
  <si>
    <r>
      <rPr>
        <b val="true"/>
        <sz val="10"/>
        <rFont val="맑은 고딕"/>
        <family val="0"/>
        <charset val="1"/>
      </rPr>
      <t xml:space="preserve">5,000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+700</t>
    </r>
  </si>
  <si>
    <r>
      <rPr>
        <b val="true"/>
        <sz val="10"/>
        <rFont val="맑은 고딕"/>
        <family val="0"/>
        <charset val="1"/>
      </rPr>
      <t xml:space="preserve">10,000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+1,500</t>
    </r>
  </si>
  <si>
    <r>
      <rPr>
        <b val="true"/>
        <sz val="10"/>
        <rFont val="WenQuanYi Zen Hei"/>
        <family val="2"/>
      </rPr>
      <t xml:space="preserve">둠칫 실질 회수율 — 가설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확인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</si>
  <si>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출금 환산 </t>
    </r>
    <r>
      <rPr>
        <sz val="10"/>
        <rFont val="맑은 고딕"/>
        <family val="0"/>
        <charset val="1"/>
      </rPr>
      <t xml:space="preserve">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 = 200.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'1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200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라면 문서의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가치의 포인트로 환산하여 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정합적입니다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</si>
  <si>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반증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만약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1P</t>
    </r>
    <r>
      <rPr>
        <sz val="10"/>
        <rFont val="WenQuanYi Zen Hei"/>
        <family val="2"/>
      </rPr>
      <t xml:space="preserve">라면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의 실질이 약 </t>
    </r>
    <r>
      <rPr>
        <sz val="10"/>
        <rFont val="맑은 고딕"/>
        <family val="0"/>
        <charset val="1"/>
      </rPr>
      <t xml:space="preserve">0.09%</t>
    </r>
    <r>
      <rPr>
        <sz val="10"/>
        <rFont val="WenQuanYi Zen Hei"/>
        <family val="2"/>
      </rPr>
      <t xml:space="preserve">가 되어 비현실적 —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은 아닐 가능성이 매우 높습니다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</si>
  <si>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확인 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비율을 보면 즉시 확정됩니다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</si>
  <si>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티어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가산 조합</t>
    </r>
  </si>
  <si>
    <t xml:space="preserve">표기 비율</t>
  </si>
  <si>
    <t xml:space="preserve">유료쿠키 기준 실질</t>
  </si>
  <si>
    <t xml:space="preserve">보너스 포함 기준 실질</t>
  </si>
  <si>
    <r>
      <rPr>
        <b val="true"/>
        <sz val="10"/>
        <rFont val="WenQuanYi Zen Hei"/>
        <family val="2"/>
      </rPr>
      <t xml:space="preserve">실버 </t>
    </r>
    <r>
      <rPr>
        <b val="true"/>
        <sz val="10"/>
        <rFont val="맑은 고딕"/>
        <family val="0"/>
        <charset val="1"/>
      </rPr>
      <t xml:space="preserve">3</t>
    </r>
  </si>
  <si>
    <t xml:space="preserve">핑크 다이아몬드</t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</si>
  <si>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독점공개</t>
    </r>
    <r>
      <rPr>
        <b val="true"/>
        <sz val="10"/>
        <rFont val="맑은 고딕"/>
        <family val="0"/>
        <charset val="1"/>
      </rPr>
      <t xml:space="preserve">(+3%)</t>
    </r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</si>
  <si>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오리지널</t>
    </r>
    <r>
      <rPr>
        <b val="true"/>
        <sz val="10"/>
        <rFont val="맑은 고딕"/>
        <family val="0"/>
        <charset val="1"/>
      </rPr>
      <t xml:space="preserve">(+5%)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</si>
  <si>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비율보다 실질이 높아지는 이유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유저는 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보너스로 정가보다 싸게 쿠키를 사지만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정산은 정가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환산되기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큰 팩을 살수록 격차가 벌어짐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</si>
  <si>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정산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 시 지급되는 보너스 쿠키가 여기 해당하는지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해당하면 유료쿠키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보너스 포함 기준이 모수</t>
    </r>
  </si>
  <si>
    <t xml:space="preserve">티팟 — 수령 수단에 따른 실질 회수율</t>
  </si>
  <si>
    <r>
      <rPr>
        <i val="true"/>
        <sz val="9"/>
        <color rgb="FF595959"/>
        <rFont val="WenQuanYi Zen Hei"/>
        <family val="2"/>
      </rPr>
      <t xml:space="preserve">유료 리프는 전 구간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리프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할인은 전부 보너스 리프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인센티브를 리프로 바꾸면 </t>
    </r>
    <r>
      <rPr>
        <i val="true"/>
        <sz val="9"/>
        <color rgb="FF595959"/>
        <rFont val="맑은 고딕"/>
        <family val="0"/>
        <charset val="1"/>
      </rPr>
      <t xml:space="preserve">1:1 </t>
    </r>
    <r>
      <rPr>
        <i val="true"/>
        <sz val="9"/>
        <color rgb="FF595959"/>
        <rFont val="WenQuanYi Zen Hei"/>
        <family val="2"/>
      </rPr>
      <t xml:space="preserve">무손실이고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현금으로 받을 때만 세금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수수료가 공제됩니다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</si>
  <si>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문서 예시</t>
    </r>
    <r>
      <rPr>
        <i val="true"/>
        <sz val="9"/>
        <color rgb="FF595959"/>
        <rFont val="맑은 고딕"/>
        <family val="0"/>
        <charset val="1"/>
      </rPr>
      <t xml:space="preserve">: 10,000</t>
    </r>
    <r>
      <rPr>
        <i val="true"/>
        <sz val="9"/>
        <color rgb="FF595959"/>
        <rFont val="WenQuanYi Zen Hei"/>
        <family val="2"/>
      </rPr>
      <t xml:space="preserve">원 신청 → </t>
    </r>
    <r>
      <rPr>
        <i val="true"/>
        <sz val="9"/>
        <color rgb="FF595959"/>
        <rFont val="맑은 고딕"/>
        <family val="0"/>
        <charset val="1"/>
      </rPr>
      <t xml:space="preserve">11,692 </t>
    </r>
    <r>
      <rPr>
        <i val="true"/>
        <sz val="9"/>
        <color rgb="FF595959"/>
        <rFont val="WenQuanYi Zen Hei"/>
        <family val="2"/>
      </rPr>
      <t xml:space="preserve">인센티브 차감 → 정확히 </t>
    </r>
    <r>
      <rPr>
        <i val="true"/>
        <sz val="9"/>
        <color rgb="FF595959"/>
        <rFont val="맑은 고딕"/>
        <family val="0"/>
        <charset val="1"/>
      </rPr>
      <t xml:space="preserve">10,000</t>
    </r>
    <r>
      <rPr>
        <i val="true"/>
        <sz val="9"/>
        <color rgb="FF595959"/>
        <rFont val="WenQuanYi Zen Hei"/>
        <family val="2"/>
      </rPr>
      <t xml:space="preserve">원 입금</t>
    </r>
  </si>
  <si>
    <t xml:space="preserve">리프로 수령</t>
  </si>
  <si>
    <t xml:space="preserve">현금으로 수령</t>
  </si>
  <si>
    <r>
      <rPr>
        <b val="true"/>
        <sz val="10"/>
        <rFont val="WenQuanYi Zen Hei"/>
        <family val="2"/>
      </rPr>
      <t xml:space="preserve">미계약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 크리에이터</t>
    </r>
  </si>
  <si>
    <r>
      <rPr>
        <b val="true"/>
        <sz val="10"/>
        <rFont val="WenQuanYi Zen Hei"/>
        <family val="2"/>
      </rPr>
      <t xml:space="preserve">독점 크리에이터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캐릭터별 독점 전환</t>
    </r>
  </si>
  <si>
    <t xml:space="preserve">팬 후원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</si>
  <si>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 프리미엄이 단일 숫자로 명확한 유일한 사례</t>
    </r>
    <r>
      <rPr>
        <sz val="10"/>
        <rFont val="맑은 고딕"/>
        <family val="0"/>
        <charset val="1"/>
      </rPr>
      <t xml:space="preserve">: 8% → 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</si>
  <si>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감액을 숨기지 않은 두 번째 사례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플레이툰에 이어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</si>
  <si>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구매 시 지급되는 보너스 리프</t>
    </r>
    <r>
      <rPr>
        <sz val="10"/>
        <rFont val="맑은 고딕"/>
        <family val="0"/>
        <charset val="1"/>
      </rPr>
      <t xml:space="preserve">(30,000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 불명</t>
    </r>
  </si>
  <si>
    <t xml:space="preserve">유저 결제액 대비 크리에이터 몫 — 모수와 단가가 모두 확정된 플랫폼만</t>
  </si>
  <si>
    <r>
      <rPr>
        <i val="true"/>
        <sz val="9"/>
        <color rgb="FF595959"/>
        <rFont val="WenQuanYi Zen Hei"/>
        <family val="2"/>
      </rPr>
      <t xml:space="preserve">재화 단가가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원으로 확인되어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유저가 낸 돈의 몇 </t>
    </r>
    <r>
      <rPr>
        <i val="true"/>
        <sz val="9"/>
        <color rgb="FF595959"/>
        <rFont val="맑은 고딕"/>
        <family val="0"/>
        <charset val="1"/>
      </rPr>
      <t xml:space="preserve">%'</t>
    </r>
    <r>
      <rPr>
        <i val="true"/>
        <sz val="9"/>
        <color rgb="FF595959"/>
        <rFont val="WenQuanYi Zen Hei"/>
        <family val="2"/>
      </rPr>
      <t xml:space="preserve">가 그대로 성립하는 곳들입니다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서로 직접 비교할 수 있는 유일한 집합입니다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</si>
  <si>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 단가</t>
  </si>
  <si>
    <r>
      <rPr>
        <b val="true"/>
        <sz val="10"/>
        <color rgb="FFFFFFFF"/>
        <rFont val="WenQuanYi Zen Hei"/>
        <family val="2"/>
      </rPr>
      <t xml:space="preserve">전속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독점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</si>
  <si>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</si>
  <si>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</si>
  <si>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 구분 없는 단일 요율</t>
    </r>
    <r>
      <rPr>
        <sz val="10"/>
        <rFont val="맑은 고딕"/>
        <family val="0"/>
        <charset val="1"/>
      </rPr>
      <t xml:space="preserve">. 2026.07.01~2028.06.30 2</t>
    </r>
    <r>
      <rPr>
        <sz val="10"/>
        <rFont val="WenQuanYi Zen Hei"/>
        <family val="2"/>
      </rPr>
      <t xml:space="preserve">년 확약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초기 제작자 한정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</si>
  <si>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</si>
  <si>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8%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6.84%)</t>
    </r>
  </si>
  <si>
    <r>
      <rPr>
        <sz val="10"/>
        <rFont val="맑은 고딕"/>
        <family val="0"/>
        <charset val="1"/>
      </rPr>
      <t xml:space="preserve">12%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10.26%)</t>
    </r>
  </si>
  <si>
    <r>
      <rPr>
        <sz val="10"/>
        <rFont val="WenQuanYi Zen Hei"/>
        <family val="2"/>
      </rPr>
      <t xml:space="preserve">리프 교환은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현금만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</si>
  <si>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</si>
  <si>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3~15% (</t>
    </r>
    <r>
      <rPr>
        <sz val="10"/>
        <rFont val="WenQuanYi Zen Hei"/>
        <family val="2"/>
      </rPr>
      <t xml:space="preserve">티어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</si>
  <si>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/ +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/ +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</t>
    </r>
  </si>
  <si>
    <t xml:space="preserve">포인트→쿠키 전환 비율 미확인이라 실질은 가설 단계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</si>
  <si>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</si>
  <si>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</t>
    </r>
    <r>
      <rPr>
        <sz val="10"/>
        <rFont val="맑은 고딕"/>
        <family val="0"/>
        <charset val="1"/>
      </rPr>
      <t xml:space="preserve">20~50%</t>
    </r>
  </si>
  <si>
    <r>
      <rPr>
        <sz val="10"/>
        <rFont val="WenQuanYi Zen Hei"/>
        <family val="2"/>
      </rPr>
      <t xml:space="preserve">튜닝 모델만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젤리로 지급</t>
    </r>
  </si>
  <si>
    <r>
      <rPr>
        <sz val="10"/>
        <rFont val="맑은 고딕"/>
        <family val="0"/>
        <charset val="1"/>
      </rPr>
      <t xml:space="preserve">5%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</si>
  <si>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8~12%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</si>
  <si>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t xml:space="preserve">캐롯 원화 단가 미확인 — 확정 시 이 표에 편입 가능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</si>
  <si>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일반 크리에이터 기준 최고는 유니챗 </t>
    </r>
    <r>
      <rPr>
        <sz val="10"/>
        <rFont val="맑은 고딕"/>
        <family val="0"/>
        <charset val="1"/>
      </rPr>
      <t xml:space="preserve">10%, </t>
    </r>
    <r>
      <rPr>
        <sz val="10"/>
        <rFont val="WenQuanYi Zen Hei"/>
        <family val="2"/>
      </rPr>
      <t xml:space="preserve">그다음 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</si>
  <si>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기준 최고는 젠잇 집중 퍼블리싱 </t>
    </r>
    <r>
      <rPr>
        <sz val="10"/>
        <rFont val="맑은 고딕"/>
        <family val="0"/>
        <charset val="1"/>
      </rPr>
      <t xml:space="preserve">20~50%, </t>
    </r>
    <r>
      <rPr>
        <sz val="10"/>
        <rFont val="WenQuanYi Zen Hei"/>
        <family val="2"/>
      </rPr>
      <t xml:space="preserve">그다음 둠칫 최대 </t>
    </r>
    <r>
      <rPr>
        <sz val="10"/>
        <rFont val="맑은 고딕"/>
        <family val="0"/>
        <charset val="1"/>
      </rPr>
      <t xml:space="preserve">22%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12%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</si>
  <si>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</si>
  <si>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</si>
  <si>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</si>
  <si>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</si>
  <si>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</si>
  <si>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</si>
  <si>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</si>
  <si>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</si>
  <si>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</si>
  <si>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</si>
  <si>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</si>
  <si>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</si>
  <si>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</si>
  <si>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</si>
  <si>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</si>
  <si>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</si>
  <si>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</si>
  <si>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</si>
  <si>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</si>
  <si>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</si>
  <si>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</si>
  <si>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</si>
  <si>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</si>
  <si>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</si>
  <si>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</si>
  <si>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</si>
  <si>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</si>
  <si>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</si>
  <si>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</si>
  <si>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</si>
  <si>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</si>
  <si>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</si>
  <si>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</si>
  <si>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</si>
  <si>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</si>
  <si>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</si>
  <si>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</si>
  <si>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</si>
  <si>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</si>
  <si>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</si>
  <si>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</si>
  <si>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</si>
  <si>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</si>
  <si>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</si>
  <si>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</si>
  <si>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</si>
  <si>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</si>
  <si>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</si>
  <si>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</si>
  <si>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</si>
  <si>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</si>
  <si>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</si>
  <si>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</si>
  <si>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</si>
  <si>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</si>
  <si>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</si>
  <si>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</si>
  <si>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</si>
  <si>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</si>
  <si>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</si>
  <si>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</si>
  <si>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</si>
  <si>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</si>
  <si>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</si>
  <si>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</si>
  <si>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</si>
  <si>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</si>
  <si>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</si>
  <si>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</si>
  <si>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</si>
  <si>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</si>
  <si>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</si>
  <si>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</si>
  <si>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</si>
  <si>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</si>
  <si>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</si>
  <si>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</si>
  <si>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</si>
  <si>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</si>
  <si>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</si>
  <si>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</si>
  <si>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위프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타이틀 작가 — 활동 실적 기반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등급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</si>
  <si>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기준 정산율이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내부 규정에 따름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으로 비공개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등급 간 배수만 공개되어 있어 절대 수입은 산출할 수 없습니다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</si>
  <si>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루키 작가</t>
  </si>
  <si>
    <t xml:space="preserve">프라임 작가</t>
  </si>
  <si>
    <t xml:space="preserve">하이퍼 작가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</si>
  <si>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대화량</t>
    </r>
  </si>
  <si>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</si>
  <si>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300K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</si>
  <si>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1M </t>
    </r>
    <r>
      <rPr>
        <sz val="11"/>
        <color theme="1"/>
        <rFont val="WenQuanYi Zen Hei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</si>
  <si>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공개 캐릭터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</si>
  <si>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</si>
  <si>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</si>
  <si>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그중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개 이상 각 </t>
    </r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</si>
  <si>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</si>
  <si>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</si>
  <si>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</si>
  <si>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명 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</si>
  <si>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범위</t>
    </r>
  </si>
  <si>
    <r>
      <rPr>
        <sz val="11"/>
        <color theme="1"/>
        <rFont val="WenQuanYi Zen Hei"/>
        <family val="2"/>
      </rPr>
      <t xml:space="preserve">누적 대화량 </t>
    </r>
    <r>
      <rPr>
        <sz val="11"/>
        <color theme="1"/>
        <rFont val="Calibri"/>
        <family val="2"/>
        <charset val="1"/>
      </rPr>
      <t xml:space="preserve">10K </t>
    </r>
    <r>
      <rPr>
        <sz val="11"/>
        <color theme="1"/>
        <rFont val="WenQuanYi Zen Hei"/>
        <family val="2"/>
      </rPr>
      <t xml:space="preserve">이상인 공개 캐릭터만</t>
    </r>
  </si>
  <si>
    <t xml:space="preserve">모든 공개 캐릭터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</si>
  <si>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수익</t>
    </r>
  </si>
  <si>
    <r>
      <rPr>
        <sz val="11"/>
        <color theme="1"/>
        <rFont val="WenQuanYi Zen Hei"/>
        <family val="2"/>
      </rPr>
      <t xml:space="preserve">유료 채팅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잠금 이미지 열람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</si>
  <si>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요율</t>
    </r>
  </si>
  <si>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수치 비공개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</si>
  <si>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</si>
  <si>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잠금 이미지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</si>
  <si>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현금 출금</t>
    </r>
  </si>
  <si>
    <t xml:space="preserve">불가 — 위프로만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</si>
  <si>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위프 수령 보너스</t>
    </r>
  </si>
  <si>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추가 지급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</si>
  <si>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추가 지급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</si>
  <si>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월간 위프</t>
    </r>
  </si>
  <si>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</si>
  <si>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</si>
  <si>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20,000</t>
    </r>
    <r>
      <rPr>
        <sz val="11"/>
        <color theme="1"/>
        <rFont val="WenQuanYi Zen Hei"/>
        <family val="2"/>
      </rPr>
      <t xml:space="preserve">위프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</si>
  <si>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웰컴 키트</t>
    </r>
  </si>
  <si>
    <t xml:space="preserve">지급</t>
  </si>
  <si>
    <t xml:space="preserve">크리에이터에게 불리한 조항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</si>
  <si>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루키 시절 발생한 대화량은 프라임 승급 후에도 현금 정산 불가 — 위프로만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승급 시점 이후 발생분부터 새 등급 기준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소급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</si>
  <si>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해지는 아니며 복귀 후 새 캐릭터 공개 시 재개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</si>
  <si>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월간 지급 위프의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</si>
  <si>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서비스 가이드라인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이미지 훼손 등으로 운영에 차질이 발생하면 운영진 판단에 따라 자격 조정 또는 해지</t>
    </r>
  </si>
  <si>
    <r>
      <rPr>
        <b val="true"/>
        <sz val="10"/>
        <rFont val="WenQuanYi Zen Hei"/>
        <family val="2"/>
      </rPr>
      <t xml:space="preserve">⚠ 두 문서의 수치가 충돌 — 하이퍼를 포함한 </t>
    </r>
    <r>
      <rPr>
        <b val="true"/>
        <sz val="10"/>
        <rFont val="맑은 고딕"/>
        <family val="0"/>
        <charset val="1"/>
      </rPr>
      <t xml:space="preserve">FAQ</t>
    </r>
    <r>
      <rPr>
        <b val="true"/>
        <sz val="10"/>
        <rFont val="WenQuanYi Zen Hei"/>
        <family val="2"/>
      </rPr>
      <t xml:space="preserve">를 최신으로 보고 채택했습니다</t>
    </r>
  </si>
  <si>
    <r>
      <rPr>
        <sz val="10"/>
        <rFont val="WenQuanYi Zen Hei"/>
        <family val="2"/>
      </rPr>
      <t xml:space="preserve">  타이틀 작가 안내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30K·</t>
    </r>
    <r>
      <rPr>
        <sz val="10"/>
        <rFont val="WenQuanYi Zen Hei"/>
        <family val="2"/>
      </rPr>
      <t xml:space="preserve">팔로워 조건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150K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말일 일괄 지급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</si>
  <si>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  FAQ(3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50K·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300K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1M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</si>
  <si>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둠칫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작가 티어 제도 — 상대평가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시즌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단위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</si>
  <si>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승급 조건은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시즌 유료 턴 수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기준 상위 퍼센트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모집단은 해당 시즌 실버</t>
    </r>
    <r>
      <rPr>
        <i val="true"/>
        <sz val="9"/>
        <color rgb="FF595959"/>
        <rFont val="맑은 고딕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등급 이상 유저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매일 </t>
    </r>
    <r>
      <rPr>
        <i val="true"/>
        <sz val="9"/>
        <color rgb="FF595959"/>
        <rFont val="맑은 고딕"/>
        <family val="0"/>
        <charset val="1"/>
      </rPr>
      <t xml:space="preserve">18</t>
    </r>
    <r>
      <rPr>
        <i val="true"/>
        <sz val="9"/>
        <color rgb="FF595959"/>
        <rFont val="WenQuanYi Zen Hei"/>
        <family val="2"/>
      </rPr>
      <t xml:space="preserve">시 자동 심사로 승급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강등됩니다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</si>
  <si>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</si>
  <si>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</si>
  <si>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</si>
  <si>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</si>
  <si>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</si>
  <si>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</si>
  <si>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</si>
  <si>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</si>
  <si>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</si>
  <si>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t xml:space="preserve">핑크 다이아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</si>
  <si>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유료 턴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</si>
  <si>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</si>
  <si>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96%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</si>
  <si>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89%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</si>
  <si>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77%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</si>
  <si>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</si>
  <si>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</si>
  <si>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23%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</si>
  <si>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</si>
  <si>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</si>
  <si>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2%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</si>
  <si>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인센티브 비율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</si>
  <si>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제작 지원금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</si>
  <si>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</si>
  <si>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</si>
  <si>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</si>
  <si>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</si>
  <si>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</si>
  <si>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</si>
  <si>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</si>
  <si>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</si>
  <si>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</si>
  <si>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일일 보상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</si>
  <si>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</si>
  <si>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</si>
  <si>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</si>
  <si>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</si>
  <si>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</si>
  <si>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프로필 칭호</t>
    </r>
  </si>
  <si>
    <t xml:space="preserve">가산 구조 — 티어 비율 위에 얹힘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</si>
  <si>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</si>
  <si>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제도상 최대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핑크 다이아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단 독점공개와 오리지널의 동시 적용 가능 여부는 문서상 불명</t>
    </r>
  </si>
  <si>
    <t xml:space="preserve">이 제도가 다른 곳과 다른 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</si>
  <si>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유일한 상대평가 티어 — 다른 곳은 전부 절대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 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팔로워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여기는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라 남이 잘하면 내가 강등됨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</si>
  <si>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강등이 실제 작동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곳의 등급은 사실상 한 번 따면 유지되는 구조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</si>
  <si>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분리 — 공식 크리에이터가 되어도 독점 의무가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</si>
  <si>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절제된 환수 조항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</si>
  <si>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둠칫 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</si>
  <si>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</si>
  <si>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</si>
  <si>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</si>
  <si>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</si>
  <si>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</si>
  <si>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</si>
  <si>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</si>
  <si>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</si>
  <si>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b val="true"/>
        <sz val="10"/>
        <rFont val="WenQuanYi Zen Hei"/>
        <family val="2"/>
      </rPr>
      <t xml:space="preserve">베이비챗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투킷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</si>
  <si>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</si>
  <si>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</si>
  <si>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t xml:space="preserve">투킷</t>
  </si>
  <si>
    <r>
      <rPr>
        <sz val="10"/>
        <rFont val="WenQuanYi Zen Hei"/>
        <family val="2"/>
      </rPr>
      <t xml:space="preserve">베이비챗과 같은 곳에서 만든 여성향 플랫폼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제도가 동일한 것으로 파악되어 베이비챗 열에 통합</t>
    </r>
  </si>
  <si>
    <t xml:space="preserve">제보 — 투킷 자체 문서 미확인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</si>
  <si>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</si>
  <si>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</si>
  <si>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</si>
  <si>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</si>
  <si>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 — 전언 기반 정보</t>
    </r>
  </si>
  <si>
    <r>
      <rPr>
        <sz val="10"/>
        <rFont val="WenQuanYi Zen Hei"/>
        <family val="2"/>
      </rPr>
      <t xml:space="preserve">사용자 수집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커뮤니티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</si>
  <si>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</si>
  <si>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</si>
  <si>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</si>
  <si>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</si>
  <si>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</si>
  <si>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</si>
  <si>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</si>
  <si>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</si>
  <si>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</si>
  <si>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sz val="10"/>
        <rFont val="맑은 고딕"/>
        <family val="0"/>
        <charset val="1"/>
      </rPr>
      <t xml:space="preserve">FAQ '</t>
    </r>
    <r>
      <rPr>
        <sz val="10"/>
        <rFont val="WenQuanYi Zen Hei"/>
        <family val="2"/>
      </rPr>
      <t xml:space="preserve">타이틀 작가란 무엇인가요</t>
    </r>
    <r>
      <rPr>
        <sz val="10"/>
        <rFont val="맑은 고딕"/>
        <family val="0"/>
        <charset val="1"/>
      </rPr>
      <t xml:space="preserve">?' / '</t>
    </r>
    <r>
      <rPr>
        <sz val="10"/>
        <rFont val="WenQuanYi Zen Hei"/>
        <family val="2"/>
      </rPr>
      <t xml:space="preserve">작가 정산은 어떻게 받나요</t>
    </r>
    <r>
      <rPr>
        <sz val="10"/>
        <rFont val="맑은 고딕"/>
        <family val="0"/>
        <charset val="1"/>
      </rPr>
      <t xml:space="preserve">?' / </t>
    </r>
    <r>
      <rPr>
        <sz val="10"/>
        <rFont val="WenQuanYi Zen Hei"/>
        <family val="2"/>
      </rPr>
      <t xml:space="preserve">타이틀 작가 안내</t>
    </r>
  </si>
  <si>
    <r>
      <rPr>
        <sz val="10"/>
        <rFont val="WenQuanYi Zen Hei"/>
        <family val="2"/>
      </rPr>
      <t xml:space="preserve">작가 인센티브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시스템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쿠키 충전 화면</t>
    </r>
  </si>
  <si>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 + </t>
    </r>
    <r>
      <rPr>
        <sz val="10"/>
        <rFont val="WenQuanYi Zen Hei"/>
        <family val="2"/>
      </rPr>
      <t xml:space="preserve">리프 충전 스토어 화면</t>
    </r>
  </si>
  <si>
    <r>
      <rPr>
        <sz val="10"/>
        <rFont val="WenQuanYi Zen Hei"/>
        <family val="2"/>
      </rPr>
      <t xml:space="preserve">사용자 제공 발췌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이미지</t>
    </r>
  </si>
  <si>
    <r>
      <rPr>
        <sz val="10"/>
        <rFont val="맑은 고딕"/>
        <family val="0"/>
        <charset val="1"/>
      </rPr>
      <t xml:space="preserve">'2. </t>
    </r>
    <r>
      <rPr>
        <sz val="10"/>
        <rFont val="WenQuanYi Zen Hei"/>
        <family val="2"/>
      </rPr>
      <t xml:space="preserve">크리에이터 정산율 안내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예정 단계</t>
    </r>
    <r>
      <rPr>
        <sz val="10"/>
        <rFont val="맑은 고딕"/>
        <family val="0"/>
        <charset val="1"/>
      </rPr>
      <t xml:space="preserve">)</t>
    </r>
  </si>
  <si>
    <t xml:space="preserve">정산률 안내</t>
  </si>
  <si>
    <t xml:space="preserve">서비스 소개 문구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</si>
  <si>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</si>
  <si>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WenQuanYi Zen Hei"/>
        <family val="2"/>
      </rPr>
      <t xml:space="preserve">크리에이터 안내 페이지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안내</t>
    </r>
  </si>
  <si>
    <t xml:space="preserve">rofan.ai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</si>
  <si>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(Rising) </t>
    </r>
    <r>
      <rPr>
        <sz val="10"/>
        <rFont val="WenQuanYi Zen Hei"/>
        <family val="2"/>
      </rPr>
      <t xml:space="preserve">안내</t>
    </r>
    <r>
      <rPr>
        <sz val="10"/>
        <rFont val="맑은 고딕"/>
        <family val="0"/>
        <charset val="1"/>
      </rPr>
      <t xml:space="preserve">'(2026-05-31) / '</t>
    </r>
    <r>
      <rPr>
        <sz val="10"/>
        <rFont val="WenQuanYi Zen Hei"/>
        <family val="2"/>
      </rPr>
      <t xml:space="preserve">멜팅 크리에이터 제도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</si>
  <si>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</si>
  <si>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</si>
  <si>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</si>
  <si>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</si>
  <si>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</si>
  <si>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</si>
  <si>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</si>
  <si>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</si>
  <si>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</si>
  <si>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</si>
  <si>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</si>
  <si>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</si>
  <si>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</si>
  <si>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</si>
  <si>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</si>
  <si>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</si>
  <si>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</si>
  <si>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</si>
  <si>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</si>
  <si>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</si>
  <si>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</si>
  <si>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r>
      <rPr>
        <sz val="10"/>
        <rFont val="WenQuanYi Zen Hei"/>
        <family val="2"/>
      </rPr>
      <t xml:space="preserve">타이틀 작가 안내와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의 수치 충돌 — 등급 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vs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루키 대화량</t>
    </r>
    <r>
      <rPr>
        <sz val="10"/>
        <rFont val="맑은 고딕"/>
        <family val="0"/>
        <charset val="1"/>
      </rPr>
      <t xml:space="preserve">(30K vs 50K), </t>
    </r>
    <r>
      <rPr>
        <sz val="10"/>
        <rFont val="WenQuanYi Zen Hei"/>
        <family val="2"/>
      </rPr>
      <t xml:space="preserve">루키 팔로워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vs 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프라임 대화량</t>
    </r>
    <r>
      <rPr>
        <sz val="10"/>
        <rFont val="맑은 고딕"/>
        <family val="0"/>
        <charset val="1"/>
      </rPr>
      <t xml:space="preserve">(150K vs 300K), </t>
    </r>
    <r>
      <rPr>
        <sz val="10"/>
        <rFont val="WenQuanYi Zen Hei"/>
        <family val="2"/>
      </rPr>
      <t xml:space="preserve">현금 지급 시점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말일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</si>
  <si>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하이퍼 등급을 포함한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를 최신으로 판단하고 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 문서가 구버전으로 보이나 확정 필요</t>
    </r>
  </si>
  <si>
    <t xml:space="preserve">구조적 한계</t>
  </si>
  <si>
    <r>
      <rPr>
        <sz val="10"/>
        <rFont val="WenQuanYi Zen Hei"/>
        <family val="2"/>
      </rPr>
      <t xml:space="preserve">기준 정산율이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공개</t>
    </r>
  </si>
  <si>
    <r>
      <rPr>
        <sz val="10"/>
        <rFont val="WenQuanYi Zen Hei"/>
        <family val="2"/>
      </rPr>
      <t xml:space="preserve">기준값이 없어 절대 수입 산출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상대값만 공개하는 방식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</si>
  <si>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</si>
  <si>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</si>
  <si>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</si>
  <si>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</si>
  <si>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</si>
  <si>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t xml:space="preserve">베이비챗과 크리에이터 제도가 완전히 동일한지</t>
  </si>
  <si>
    <r>
      <rPr>
        <sz val="10"/>
        <rFont val="WenQuanYi Zen Hei"/>
        <family val="2"/>
      </rPr>
      <t xml:space="preserve">제보 기반으로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투킷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한 열로 통합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투킷 자체 문서로 검증 필요 — 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조건이 갈릴 가능성 배제 못 함</t>
    </r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</si>
  <si>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</si>
  <si>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</si>
  <si>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</si>
  <si>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</si>
  <si>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</si>
  <si>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</si>
  <si>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</si>
  <si>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</si>
  <si>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</si>
  <si>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</si>
  <si>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</si>
  <si>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</si>
  <si>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</si>
  <si>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</si>
  <si>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윙 충전 가격표</t>
    </r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</si>
  <si>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</si>
  <si>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t xml:space="preserve">프로챗 충전 가격표</t>
  </si>
  <si>
    <t xml:space="preserve">베리 실질 회수율의 원화 환산</t>
  </si>
  <si>
    <t xml:space="preserve">크레딧 충전 가격표</t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</si>
  <si>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</si>
  <si>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</si>
  <si>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</si>
  <si>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</si>
  <si>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</si>
  <si>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</si>
  <si>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</si>
  <si>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</si>
  <si>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</si>
  <si>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</si>
  <si>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</si>
  <si>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</si>
  <si>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윙</t>
    </r>
    <r>
      <rPr>
        <sz val="10"/>
        <rFont val="맑은 고딕"/>
        <family val="0"/>
        <charset val="1"/>
      </rPr>
      <t xml:space="preserve">(🪽) </t>
    </r>
    <r>
      <rPr>
        <sz val="10"/>
        <rFont val="WenQuanYi Zen Hei"/>
        <family val="2"/>
      </rPr>
      <t xml:space="preserve">선물 기능 안내</t>
    </r>
  </si>
  <si>
    <r>
      <rPr>
        <sz val="10"/>
        <rFont val="WenQuanYi Zen Hei"/>
        <family val="2"/>
      </rPr>
      <t xml:space="preserve">선물 수수료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모수</t>
    </r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</si>
  <si>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</si>
  <si>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</si>
  <si>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</si>
  <si>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</si>
  <si>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</si>
  <si>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</si>
  <si>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</si>
  <si>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</si>
  <si>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</si>
  <si>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</si>
  <si>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</si>
  <si>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</si>
  <si>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</si>
  <si>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</si>
  <si>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</si>
  <si>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</si>
  <si>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</si>
  <si>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</si>
  <si>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</si>
  <si>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</si>
  <si>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</si>
  <si>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</si>
  <si>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</si>
  <si>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</si>
  <si>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</si>
  <si>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</si>
  <si>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</si>
  <si>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</si>
  <si>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</si>
  <si>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</si>
  <si>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</si>
  <si>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</si>
  <si>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</si>
  <si>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</si>
  <si>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</si>
  <si>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</si>
  <si>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</si>
  <si>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</si>
  <si>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</si>
  <si>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</si>
  <si>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</si>
  <si>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</si>
  <si>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</si>
  <si>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</si>
  <si>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</si>
  <si>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루키 기준 정산율</t>
  </si>
  <si>
    <r>
      <rPr>
        <sz val="10"/>
        <rFont val="WenQuanYi Zen Hei"/>
        <family val="2"/>
      </rPr>
      <t xml:space="preserve">배수의 기준값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이것 없이는 위프 정산 수준을 전혀 평가할 수 없음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</si>
  <si>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환산율</t>
    </r>
  </si>
  <si>
    <t xml:space="preserve">루키는 위프로만 수령하므로 실질 가치 판단에 필수</t>
  </si>
  <si>
    <r>
      <rPr>
        <sz val="10"/>
        <rFont val="WenQuanYi Zen Hei"/>
        <family val="2"/>
      </rPr>
      <t xml:space="preserve">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유저 결제 단가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잠금 이미지 열람 요율</t>
    </r>
  </si>
  <si>
    <t xml:space="preserve">건당 수령액 환산</t>
  </si>
  <si>
    <t xml:space="preserve">두 문서 수치 충돌의 확정본</t>
  </si>
  <si>
    <t xml:space="preserve">등급 조건과 현금 지급 시점</t>
  </si>
  <si>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</t>
    </r>
  </si>
  <si>
    <r>
      <rPr>
        <sz val="10"/>
        <rFont val="WenQuanYi Zen Hei"/>
        <family val="2"/>
      </rPr>
      <t xml:space="preserve">실질 회수율 확정의 열쇠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가설의 검증 수단</t>
    </r>
  </si>
  <si>
    <r>
      <rPr>
        <sz val="10"/>
        <rFont val="WenQuanYi Zen Hei"/>
        <family val="2"/>
      </rPr>
      <t xml:space="preserve">구매 시 지급되는 보너스 쿠키가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</si>
  <si>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t xml:space="preserve">정산 모수가 유료쿠키 기준인지 총쿠키 기준인지 갈림</t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</si>
  <si>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(+3%)</t>
    </r>
    <r>
      <rPr>
        <sz val="10"/>
        <rFont val="WenQuanYi Zen Hei"/>
        <family val="2"/>
      </rPr>
      <t xml:space="preserve">와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의 동시 적용 가능 여부</t>
    </r>
  </si>
  <si>
    <r>
      <rPr>
        <sz val="10"/>
        <rFont val="WenQuanYi Zen Hei"/>
        <family val="2"/>
      </rPr>
      <t xml:space="preserve">제도상 최대 요율이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인지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인지</t>
    </r>
  </si>
  <si>
    <t xml:space="preserve">오리지널 작품 계약금 규모</t>
  </si>
  <si>
    <t xml:space="preserve">저작권 양도의 대가 수준</t>
  </si>
  <si>
    <r>
      <rPr>
        <sz val="10"/>
        <rFont val="WenQuanYi Zen Hei"/>
        <family val="2"/>
      </rPr>
      <t xml:space="preserve">시즌 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종료 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캐럿의 정체와 용도</t>
    </r>
  </si>
  <si>
    <r>
      <rPr>
        <sz val="10"/>
        <rFont val="WenQuanYi Zen Hei"/>
        <family val="2"/>
      </rPr>
      <t xml:space="preserve">구매 시 지급되는 보너스 리프가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</si>
  <si>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r>
      <rPr>
        <sz val="10"/>
        <rFont val="WenQuanYi Zen Hei"/>
        <family val="2"/>
      </rPr>
      <t xml:space="preserve">정산 모수 확정 —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</t>
    </r>
    <r>
      <rPr>
        <sz val="10"/>
        <rFont val="WenQuanYi Zen Hei"/>
        <family val="2"/>
      </rPr>
      <t xml:space="preserve">의 처리</t>
    </r>
  </si>
  <si>
    <r>
      <rPr>
        <sz val="10"/>
        <rFont val="WenQuanYi Zen Hei"/>
        <family val="2"/>
      </rPr>
      <t xml:space="preserve">현금 환산율 </t>
    </r>
    <r>
      <rPr>
        <sz val="10"/>
        <rFont val="맑은 고딕"/>
        <family val="0"/>
        <charset val="1"/>
      </rPr>
      <t xml:space="preserve">85.53%</t>
    </r>
    <r>
      <rPr>
        <sz val="10"/>
        <rFont val="WenQuanYi Zen Hei"/>
        <family val="2"/>
      </rPr>
      <t xml:space="preserve">의 세부 내역</t>
    </r>
  </si>
  <si>
    <r>
      <rPr>
        <sz val="10"/>
        <rFont val="WenQuanYi Zen Hei"/>
        <family val="2"/>
      </rPr>
      <t xml:space="preserve">원천징수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구성</t>
    </r>
  </si>
  <si>
    <t xml:space="preserve">독점 크리에이터의 정산율 외 추가 혜택 유무</t>
  </si>
  <si>
    <r>
      <rPr>
        <sz val="10"/>
        <rFont val="WenQuanYi Zen Hei"/>
        <family val="2"/>
      </rPr>
      <t xml:space="preserve">문서상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제작 지원 항목이 전혀 없음</t>
    </r>
  </si>
  <si>
    <t xml:space="preserve">캐롯 충전 가격표</t>
  </si>
  <si>
    <r>
      <rPr>
        <sz val="10"/>
        <rFont val="WenQuanYi Zen Hei"/>
        <family val="2"/>
      </rPr>
      <t xml:space="preserve">모수의 원화 환산 — 확정되면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직접 비교표에 편입 가능</t>
    </r>
  </si>
  <si>
    <r>
      <rPr>
        <sz val="10"/>
        <rFont val="WenQuanYi Zen Hei"/>
        <family val="2"/>
      </rPr>
      <t xml:space="preserve">인증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</si>
  <si>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전속 계층 분류에 필요</t>
  </si>
  <si>
    <r>
      <rPr>
        <sz val="10"/>
        <rFont val="WenQuanYi Zen Hei"/>
        <family val="2"/>
      </rPr>
      <t xml:space="preserve">시행 시점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미션 제도 구체 내용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</si>
  <si>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단계이며 미션 연동 구조는 논의 중</t>
    </r>
  </si>
  <si>
    <r>
      <rPr>
        <sz val="10"/>
        <rFont val="맑은 고딕"/>
        <family val="0"/>
        <charset val="1"/>
      </rPr>
      <t xml:space="preserve">2026.06.30 </t>
    </r>
    <r>
      <rPr>
        <sz val="10"/>
        <rFont val="WenQuanYi Zen Hei"/>
        <family val="2"/>
      </rPr>
      <t xml:space="preserve">이후 등록 제작자의 정산률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</si>
  <si>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지금 신규 진입하는 크리에이터의 조건이 미정</t>
    </r>
  </si>
  <si>
    <r>
      <rPr>
        <sz val="10"/>
        <rFont val="WenQuanYi Zen Hei"/>
        <family val="2"/>
      </rPr>
      <t xml:space="preserve">정산 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 제외 조건</t>
    </r>
  </si>
  <si>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의 모수 </t>
    </r>
    <r>
      <rPr>
        <sz val="10"/>
        <rFont val="맑은 고딕"/>
        <family val="0"/>
        <charset val="1"/>
      </rPr>
      <t xml:space="preserve">/ 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의미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가산인지 전부인지</t>
    </r>
    <r>
      <rPr>
        <sz val="10"/>
        <rFont val="맑은 고딕"/>
        <family val="0"/>
        <charset val="1"/>
      </rPr>
      <t xml:space="preserve">)</t>
    </r>
  </si>
  <si>
    <t xml:space="preserve">현재 요율 숫자 외에는 아무것도 확인되지 않음</t>
  </si>
  <si>
    <r>
      <rPr>
        <sz val="10"/>
        <rFont val="WenQuanYi Zen Hei"/>
        <family val="2"/>
      </rPr>
      <t xml:space="preserve">재화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가능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정산 주기</t>
    </r>
  </si>
  <si>
    <t xml:space="preserve">마일리지 → 리워드 전환 비율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</si>
  <si>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 확인의 핵심</t>
    </r>
    <r>
      <rPr>
        <sz val="10"/>
        <rFont val="맑은 고딕"/>
        <family val="0"/>
        <charset val="1"/>
      </rPr>
      <t xml:space="preserve">. 1:1</t>
    </r>
    <r>
      <rPr>
        <sz val="10"/>
        <rFont val="WenQuanYi Zen Hei"/>
        <family val="2"/>
      </rPr>
      <t xml:space="preserve">이면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가 실질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표기와 실질이 갈림</t>
    </r>
  </si>
  <si>
    <t xml:space="preserve">재화 충전 가격표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</si>
  <si>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원화 환산</t>
    </r>
  </si>
  <si>
    <r>
      <rPr>
        <sz val="10"/>
        <rFont val="WenQuanYi Zen Hei"/>
        <family val="2"/>
      </rPr>
      <t xml:space="preserve">최소 출금액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(P)</t>
    </r>
    <r>
      <rPr>
        <sz val="10"/>
        <rFont val="WenQuanYi Zen Hei"/>
        <family val="2"/>
      </rPr>
      <t xml:space="preserve">의 성격과 사용처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점의 금액 환산</t>
    </r>
  </si>
  <si>
    <t xml:space="preserve">크레딧의 현금 출금 가능 여부</t>
  </si>
  <si>
    <r>
      <rPr>
        <sz val="10"/>
        <rFont val="WenQuanYi Zen Hei"/>
        <family val="2"/>
      </rPr>
      <t xml:space="preserve">문서에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있고 현금 언급이 없음</t>
    </r>
    <r>
      <rPr>
        <sz val="10"/>
        <rFont val="맑은 고딕"/>
        <family val="0"/>
        <charset val="1"/>
      </rPr>
      <t xml:space="preserve">. R ONLY 30%</t>
    </r>
    <r>
      <rPr>
        <sz val="10"/>
        <rFont val="WenQuanYi Zen Hei"/>
        <family val="2"/>
      </rPr>
      <t xml:space="preserve">가 현금인지 플랫폼 재화 순환인지가 여기서 갈림</t>
    </r>
  </si>
  <si>
    <r>
      <rPr>
        <sz val="10"/>
        <rFont val="WenQuanYi Zen Hei"/>
        <family val="2"/>
      </rPr>
      <t xml:space="preserve">포인트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크레딧 → 포인트 교환 비율</t>
    </r>
  </si>
  <si>
    <r>
      <rPr>
        <sz val="10"/>
        <rFont val="WenQuanYi Zen Hei"/>
        <family val="2"/>
      </rPr>
      <t xml:space="preserve">모수의 원화 환산 및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</si>
  <si>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</si>
  <si>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독점작 조건 일체가 미공개</t>
  </si>
  <si>
    <r>
      <rPr>
        <sz val="10"/>
        <rFont val="WenQuanYi Zen Hei"/>
        <family val="2"/>
      </rPr>
      <t xml:space="preserve">파트너 크리에이터 상향 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</si>
  <si>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초과라는 것만 확인됨</t>
    </r>
  </si>
  <si>
    <t xml:space="preserve">투킷 자체 크리에이터 문서</t>
  </si>
  <si>
    <r>
      <rPr>
        <sz val="10"/>
        <rFont val="WenQuanYi Zen Hei"/>
        <family val="2"/>
      </rPr>
      <t xml:space="preserve">베이비챗과 동일 여부 검증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다르면 별도 열로 분리해야 함</t>
    </r>
  </si>
  <si>
    <t xml:space="preserve">콘 충전 가격표</t>
  </si>
  <si>
    <r>
      <rPr>
        <sz val="10"/>
        <rFont val="WenQuanYi Zen Hei"/>
        <family val="2"/>
      </rPr>
      <t xml:space="preserve">실질 회수율 산출의 핵심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=6</t>
    </r>
    <r>
      <rPr>
        <sz val="10"/>
        <rFont val="WenQuanYi Zen Hei"/>
        <family val="2"/>
      </rPr>
      <t xml:space="preserve">원이면 멜팅온리 </t>
    </r>
    <r>
      <rPr>
        <sz val="10"/>
        <rFont val="맑은 고딕"/>
        <family val="0"/>
        <charset val="1"/>
      </rPr>
      <t xml:space="preserve">3%, 1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원이면 </t>
    </r>
    <r>
      <rPr>
        <sz val="10"/>
        <rFont val="맑은 고딕"/>
        <family val="0"/>
        <charset val="1"/>
      </rPr>
      <t xml:space="preserve">18%</t>
    </r>
    <r>
      <rPr>
        <sz val="10"/>
        <rFont val="WenQuanYi Zen Hei"/>
        <family val="2"/>
      </rPr>
      <t xml:space="preserve">로 크게 갈림</t>
    </r>
  </si>
  <si>
    <r>
      <rPr>
        <sz val="10"/>
        <rFont val="WenQuanYi Zen Hei"/>
        <family val="2"/>
      </rPr>
      <t xml:space="preserve">앰배서더 크리에이터의 정산율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</si>
  <si>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</si>
  <si>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멜팅온리의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</si>
  <si>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 조건 규정이 문서에 없음</t>
  </si>
  <si>
    <r>
      <rPr>
        <sz val="10"/>
        <rFont val="WenQuanYi Zen Hei"/>
        <family val="2"/>
      </rPr>
      <t xml:space="preserve">최소 출금액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주기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창작 지원금의 금액과 조건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</si>
  <si>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</si>
  <si>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</si>
  <si>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</si>
  <si>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</si>
  <si>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근거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</si>
  <si>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</si>
  <si>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</si>
  <si>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</si>
  <si>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</si>
  <si>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</si>
  <si>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</si>
  <si>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</si>
  <si>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</si>
  <si>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</si>
  <si>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</si>
  <si>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</si>
  <si>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</si>
  <si>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</si>
  <si>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</si>
  <si>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</si>
  <si>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</si>
  <si>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</si>
  <si>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</si>
  <si>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</si>
  <si>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</si>
  <si>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</si>
  <si>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</si>
  <si>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</si>
  <si>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</si>
  <si>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</si>
  <si>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</si>
  <si>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</si>
  <si>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</si>
  <si>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</si>
  <si>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</si>
  <si>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</si>
  <si>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</si>
  <si>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</si>
  <si>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</si>
  <si>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</si>
  <si>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</si>
  <si>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</si>
  <si>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</si>
  <si>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</si>
  <si>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</si>
  <si>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</si>
  <si>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</si>
  <si>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</si>
  <si>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</si>
  <si>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</si>
  <si>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유니챗만 정산률을 기간으로 확약했다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</si>
  <si>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곳은 대부분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 고지 없이 변경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운영 사정에 따라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외부 요인에 따라 조정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명시</t>
    </r>
  </si>
  <si>
    <r>
      <rPr>
        <sz val="10"/>
        <rFont val="WenQuanYi Zen Hei"/>
        <family val="2"/>
      </rPr>
      <t xml:space="preserve">요율 크기만큼이나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얼마나 유지되는가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크리에이터의 이주 결정을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기간 확약을 내걸면 요율을 크게 올리지 않고도 차별화 가능 — 확약은 비용이 낮고 신뢰 효과는 큼</t>
    </r>
  </si>
  <si>
    <t xml:space="preserve">유니챗은 초기 제작자에게만 조건을 열어두고 창구를 닫았다</t>
  </si>
  <si>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제작자만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 정산률 및 운영 정책은 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미정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이미 마감된 상태</t>
    </r>
  </si>
  <si>
    <r>
      <rPr>
        <sz val="10"/>
        <rFont val="WenQuanYi Zen Hei"/>
        <family val="2"/>
      </rPr>
      <t xml:space="preserve">초기 크리에이터를 조건으로 묶어 선점하는 전략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크플도 초기 코호트에 한정한 확약을 쓸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진입자에게 조건을 밝히지 않으면 유입이 막힘 — 유니챗이 지금 그 상태</t>
    </r>
  </si>
  <si>
    <t xml:space="preserve">멜팅은 경쟁사 유도 행위를 명시적 제재 사유로 두었다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</si>
  <si>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크리에이터 자격 해지 검토 사유이자 창작자 단계 유의사항에 포함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유일</t>
    </r>
  </si>
  <si>
    <r>
      <rPr>
        <sz val="10"/>
        <rFont val="WenQuanYi Zen Hei"/>
        <family val="2"/>
      </rPr>
      <t xml:space="preserve">크플이 멜팅 크리에이터를 유치할 때 해당 크리에이터가 제재 대상이 될 수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접촉 방식을 설계할 때 반드시 고려해야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크플이 같은 조항을 두면 크리에이터에게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가둬두려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인상을 줌</t>
    </r>
  </si>
  <si>
    <r>
      <rPr>
        <sz val="10"/>
        <rFont val="WenQuanYi Zen Hei"/>
        <family val="2"/>
      </rPr>
      <t xml:space="preserve">멜팅은 현금화를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뒤에 두었다 — 조사 대상 중 가장 깊음</t>
    </r>
  </si>
  <si>
    <r>
      <rPr>
        <sz val="10"/>
        <rFont val="WenQuanYi Zen Hei"/>
        <family val="2"/>
      </rPr>
      <t xml:space="preserve">창작자 →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콘 교환만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출금 시작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파트너 자격은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라이징은 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개만 선정되는 공모전이라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확보 자체가 장기전</t>
    </r>
  </si>
  <si>
    <r>
      <rPr>
        <sz val="10"/>
        <rFont val="WenQuanYi Zen Hei"/>
        <family val="2"/>
      </rPr>
      <t xml:space="preserve">현금까지의 거리가 가장 먼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단계 크리에이터는 사실상 플랫폼 재화만 받음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지급을 앞당기면 멜팅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 풀에 직접 소구 가능</t>
    </r>
  </si>
  <si>
    <t xml:space="preserve">멜팅은 유지 의무를 현금 출금과 직접 연동했다</t>
  </si>
  <si>
    <r>
      <rPr>
        <sz val="10"/>
        <rFont val="WenQuanYi Zen Hei"/>
        <family val="2"/>
      </rPr>
      <t xml:space="preserve">파트너는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공개 의무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피처드는 유지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미공개면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복귀는 연속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</si>
  <si>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6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보다 훨씬 무거움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적립 포인트는 소멸시키지 않고 자격 회복 시 전액 출금 재개 — 의무는 강하게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자산은 보호하는 절충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유지 조건을 둔다면 이 형태가 참고할 만함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</si>
  <si>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가 독점작 요율 최고치다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</si>
  <si>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→ R ONLY 30%,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 오리지널 퍼블리싱 </t>
    </r>
    <r>
      <rPr>
        <sz val="10"/>
        <rFont val="맑은 고딕"/>
        <family val="0"/>
        <charset val="1"/>
      </rPr>
      <t xml:space="preserve">20%(2~4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티팟 캐릭터별 독점 </t>
    </r>
    <r>
      <rPr>
        <sz val="10"/>
        <rFont val="맑은 고딕"/>
        <family val="0"/>
        <charset val="1"/>
      </rPr>
      <t xml:space="preserve">12%(1.5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웃돎</t>
    </r>
  </si>
  <si>
    <r>
      <rPr>
        <sz val="10"/>
        <rFont val="WenQuanYi Zen Hei"/>
        <family val="2"/>
      </rPr>
      <t xml:space="preserve">작품 단위 독점의 보상 상단이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까지 올라와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작품 독점을 설계한다면 이 수치가 기준선 — 다만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크레딧의 현금화 여부가 미확인이라 실질 비교는 아직 불가</t>
    </r>
  </si>
  <si>
    <r>
      <rPr>
        <sz val="10"/>
        <rFont val="WenQuanYi Zen Hei"/>
        <family val="2"/>
      </rPr>
      <t xml:space="preserve">작품 단위 독점 제도를 운영하는 곳은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곳뿐이다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</si>
  <si>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AI(R ONLY) ·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캐릭터별 전환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(B Only) 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나머지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곳은 제도 자체가 없음</t>
    </r>
  </si>
  <si>
    <r>
      <rPr>
        <sz val="10"/>
        <rFont val="WenQuanYi Zen Hei"/>
        <family val="2"/>
      </rPr>
      <t xml:space="preserve">크리에이터 전체를 묶지 않고 작품 하나만 독점으로 사는 방식이 아직 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저항이 낮은 만큼 크플이 선택지로 제시하면 차별화 여지가 있음</t>
    </r>
  </si>
  <si>
    <t xml:space="preserve">독점작 요율이 높은 곳일수록 현금화 정보가 비어 있다</t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</si>
  <si>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R ONLY 30%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 → 포인트 교환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명시하고 현금 출금 언급이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도 마일리지 → 리워드 전환 비율이 미공개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B Only 20%</t>
    </r>
    <r>
      <rPr>
        <sz val="10"/>
        <rFont val="WenQuanYi Zen Hei"/>
        <family val="2"/>
      </rPr>
      <t xml:space="preserve">는 아예 현금 경로가 없음</t>
    </r>
  </si>
  <si>
    <r>
      <rPr>
        <sz val="10"/>
        <rFont val="WenQuanYi Zen Hei"/>
        <family val="2"/>
      </rPr>
      <t xml:space="preserve">높은 표기 요율과 불투명한 현금화가 함께 나타나는 패턴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 숫자만 비교하면 정확히 이 지점에서 오판하게 됨 — 크플의 비교 자료를 만들 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현금화 가능 여부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항상 병기할 것</t>
    </r>
  </si>
  <si>
    <t xml:space="preserve">팅글이 일반 크리에이터 기준 표기 요율 최고치다</t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</si>
  <si>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애셋의 유료 대화 수익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다음이 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</t>
    </r>
  </si>
  <si>
    <r>
      <rPr>
        <sz val="10"/>
        <rFont val="WenQuanYi Zen Hei"/>
        <family val="2"/>
      </rPr>
      <t xml:space="preserve">단 마일리지 → 리워드 전환 비율이 미공개라 플레이툰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베이비챗형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가능성이 남아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전까지는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 최고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취급할 것</t>
    </r>
  </si>
  <si>
    <t xml:space="preserve">팅글은 환불 리스크를 크리에이터에게 전가한다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</si>
  <si>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특정 유저가 유료 재화 환불을 진행할 경우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해당 환불 건으로 인해 분배되었던 정산 수익이 감소할 수 있습니다</t>
    </r>
    <r>
      <rPr>
        <sz val="10"/>
        <rFont val="맑은 고딕"/>
        <family val="0"/>
        <charset val="1"/>
      </rPr>
      <t xml:space="preserve">' — 17</t>
    </r>
    <r>
      <rPr>
        <sz val="10"/>
        <rFont val="WenQuanYi Zen Hei"/>
        <family val="2"/>
      </rPr>
      <t xml:space="preserve">곳 중 환불 연동을 명시한 유일한 사례</t>
    </r>
  </si>
  <si>
    <r>
      <rPr>
        <sz val="10"/>
        <rFont val="WenQuanYi Zen Hei"/>
        <family val="2"/>
      </rPr>
      <t xml:space="preserve">실무적으로는 합리적이나 크리에이터 입장에서는 통제 불가능한 변수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같은 정책을 쓴다면 최소한 감소 내역을 투명하게 보여주는 장치가 필요</t>
    </r>
  </si>
  <si>
    <t xml:space="preserve">정산 지연 폭이 플랫폼마다 크게 다르다</t>
  </si>
  <si>
    <r>
      <rPr>
        <sz val="10"/>
        <rFont val="WenQuanYi Zen Hei"/>
        <family val="2"/>
      </rPr>
      <t xml:space="preserve">팅글은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출금 가능 — 조사 대상 중 가장 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티팟 익월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 위프 정산은 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</t>
    </r>
  </si>
  <si>
    <r>
      <rPr>
        <sz val="10"/>
        <rFont val="WenQuanYi Zen Hei"/>
        <family val="2"/>
      </rPr>
      <t xml:space="preserve">첫 수익까지의 체감 거리가 이주 결정에 직접 작용함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요율이 같다면 지급이 빠른 쪽이 이김 — 크플이 손쉽게 우위를 만들 수 있는 지점</t>
    </r>
  </si>
  <si>
    <r>
      <rPr>
        <sz val="10"/>
        <rFont val="WenQuanYi Zen Hei"/>
        <family val="2"/>
      </rPr>
      <t xml:space="preserve">일반 크리에이터 요율의 상단이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수렴한다</t>
    </r>
  </si>
  <si>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 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티어 </t>
    </r>
    <r>
      <rPr>
        <sz val="10"/>
        <rFont val="맑은 고딕"/>
        <family val="0"/>
        <charset val="1"/>
      </rPr>
      <t xml:space="preserve">3~15% · </t>
    </r>
    <r>
      <rPr>
        <sz val="10"/>
        <rFont val="WenQuanYi Zen Hei"/>
        <family val="2"/>
      </rPr>
      <t xml:space="preserve">플레이툰 표기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3%) · </t>
    </r>
    <r>
      <rPr>
        <sz val="10"/>
        <rFont val="WenQuanYi Zen Hei"/>
        <family val="2"/>
      </rPr>
      <t xml:space="preserve">베이비챗 표기 </t>
    </r>
    <r>
      <rPr>
        <sz val="10"/>
        <rFont val="맑은 고딕"/>
        <family val="0"/>
        <charset val="1"/>
      </rPr>
      <t xml:space="preserve">10~13%(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1~1.3%)</t>
    </r>
  </si>
  <si>
    <r>
      <rPr>
        <sz val="10"/>
        <rFont val="WenQuanYi Zen Hei"/>
        <family val="2"/>
      </rPr>
      <t xml:space="preserve">표기 기준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사실상 시장 상단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일반 요율로 경쟁하려면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 단계를 없애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만드는 두 갈래 중 하나를 택해야 함</t>
    </r>
  </si>
  <si>
    <t xml:space="preserve">티팟이 전속 프리미엄을 가장 명확하게 제시한다</t>
  </si>
  <si>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캐릭터에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리프는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원이라 유저 결제액 대비 비율이 바로 나옴</t>
    </r>
  </si>
  <si>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내걸 때 직접 비교당할 기준선</t>
    </r>
    <r>
      <rPr>
        <sz val="10"/>
        <rFont val="맑은 고딕"/>
        <family val="0"/>
        <charset val="1"/>
      </rPr>
      <t xml:space="preserve">. 12%(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10.26%)</t>
    </r>
    <r>
      <rPr>
        <sz val="10"/>
        <rFont val="WenQuanYi Zen Hei"/>
        <family val="2"/>
      </rPr>
      <t xml:space="preserve">를 넘기지 못하면 티팟 대비 소구력이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넘기면 즉시 비교 우위가 성립</t>
    </r>
  </si>
  <si>
    <t xml:space="preserve">티팟의 캐릭터별 독점 전환이 가장 유연한 독점 설계다</t>
  </si>
  <si>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활동 자유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유지하면서 특정 인기 캐릭터만 골라 독점 </t>
    </r>
    <r>
      <rPr>
        <sz val="10"/>
        <rFont val="맑은 고딕"/>
        <family val="0"/>
        <charset val="1"/>
      </rPr>
      <t xml:space="preserve">12%</t>
    </r>
    <r>
      <rPr>
        <sz val="10"/>
        <rFont val="WenQuanYi Zen Hei"/>
        <family val="2"/>
      </rPr>
      <t xml:space="preserve">로 전환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캐릭터만 경쟁 서비스 신규 등록이 막힘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전체 독점은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자유는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갱신</t>
    </r>
  </si>
  <si>
    <r>
      <rPr>
        <sz val="10"/>
        <rFont val="WenQuanYi Zen Hei"/>
        <family val="2"/>
      </rPr>
      <t xml:space="preserve">크리에이터가 리스크를 스스로 조절할 수 있는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진입 저항도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 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락인 부재도 피함 — 크플이 그대로 참고할 만한 설계</t>
    </r>
  </si>
  <si>
    <t xml:space="preserve">티팟은 위반 시 환수 조항이 아예 없다</t>
  </si>
  <si>
    <r>
      <rPr>
        <sz val="10"/>
        <rFont val="WenQuanYi Zen Hei"/>
        <family val="2"/>
      </rPr>
      <t xml:space="preserve">계약을 해지해도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불이익은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비공개 전환 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그 캐릭터의 현금 정산 제한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정도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</si>
  <si>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 극단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없이도 제도가 운영된다는 실례이며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환수 조항을 뺄 근거가 됨</t>
    </r>
  </si>
  <si>
    <r>
      <rPr>
        <sz val="10"/>
        <rFont val="WenQuanYi Zen Hei"/>
        <family val="2"/>
      </rPr>
      <t xml:space="preserve">티팟은 플랫폼 재화로 받으면 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현금으로 받을 때만 공제한다</t>
    </r>
  </si>
  <si>
    <r>
      <rPr>
        <sz val="10"/>
        <rFont val="WenQuanYi Zen Hei"/>
        <family val="2"/>
      </rPr>
      <t xml:space="preserve">인센티브 → 리프는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약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공제 </t>
    </r>
    <r>
      <rPr>
        <sz val="10"/>
        <rFont val="맑은 고딕"/>
        <family val="0"/>
        <charset val="1"/>
      </rPr>
      <t xml:space="preserve">14.47%)</t>
    </r>
    <r>
      <rPr>
        <sz val="10"/>
        <rFont val="WenQuanYi Zen Hei"/>
        <family val="2"/>
      </rPr>
      <t xml:space="preserve">이며 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</si>
  <si>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감액과 반대 방향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재화를 쓰게 유도하되 현금 경로를 막지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감액분을 숨기지도 않음 — 신뢰 설계의 참고 사례</t>
    </r>
  </si>
  <si>
    <t xml:space="preserve">둠칫이 정보 공개 수준에서 가장 앞선다</t>
  </si>
  <si>
    <r>
      <rPr>
        <sz val="10"/>
        <rFont val="WenQuanYi Zen Hei"/>
        <family val="2"/>
      </rPr>
      <t xml:space="preserve">정산 대상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내 월드에서 사용한 쿠키 총액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'), </t>
    </r>
    <r>
      <rPr>
        <sz val="10"/>
        <rFont val="WenQuanYi Zen Hei"/>
        <family val="2"/>
      </rPr>
      <t xml:space="preserve">티어별 비율</t>
    </r>
    <r>
      <rPr>
        <sz val="10"/>
        <rFont val="맑은 고딕"/>
        <family val="0"/>
        <charset val="1"/>
      </rPr>
      <t xml:space="preserve">(3~15%), </t>
    </r>
    <r>
      <rPr>
        <sz val="10"/>
        <rFont val="WenQuanYi Zen Hei"/>
        <family val="2"/>
      </rPr>
      <t xml:space="preserve">가산 구조</t>
    </r>
    <r>
      <rPr>
        <sz val="10"/>
        <rFont val="맑은 고딕"/>
        <family val="0"/>
        <charset val="1"/>
      </rPr>
      <t xml:space="preserve">(+2/+3/+5%), </t>
    </r>
    <r>
      <rPr>
        <sz val="10"/>
        <rFont val="WenQuanYi Zen Hei"/>
        <family val="2"/>
      </rPr>
      <t xml:space="preserve">현금 환산율</t>
    </r>
    <r>
      <rPr>
        <sz val="10"/>
        <rFont val="맑은 고딕"/>
        <family val="0"/>
        <charset val="1"/>
      </rPr>
      <t xml:space="preserve">(1,000,000P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최소 출금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신청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시점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해제 사유별 처리까지 전부 문서화</t>
    </r>
  </si>
  <si>
    <r>
      <rPr>
        <sz val="10"/>
        <rFont val="WenQuanYi Zen Hei"/>
        <family val="2"/>
      </rPr>
      <t xml:space="preserve">경쟁사 중 유일하게 크리에이터가 자기 수입을 스스로 계산할 수 있는 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공개 기준선을 여기에 맞추면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 중 최상위권</t>
    </r>
  </si>
  <si>
    <t xml:space="preserve">둠칫은 독점과 공식 크리에이터를 분리해 설계했다</t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</si>
  <si>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(+2%, 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독점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월드 단위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, +3%)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, +5%)</t>
    </r>
    <r>
      <rPr>
        <sz val="10"/>
        <rFont val="WenQuanYi Zen Hei"/>
        <family val="2"/>
      </rPr>
      <t xml:space="preserve">로 분리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가산이 겹쳐 쌓이는 구조</t>
    </r>
  </si>
  <si>
    <r>
      <rPr>
        <sz val="10"/>
        <rFont val="WenQuanYi Zen Hei"/>
        <family val="2"/>
      </rPr>
      <t xml:space="preserve">크리에이터는 독점 없이도 공식이 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작품 단위로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전속 요구의 진입 저항을 없애면서 독점을 별도로 사는 방식 — 젠잇의 작품 단위 모델과 함께 크플이 검토할 만한 설계</t>
    </r>
  </si>
  <si>
    <t xml:space="preserve">둠칫만 상대평가 티어를 쓰고 강등이 실제로 작동한다</t>
  </si>
  <si>
    <r>
      <rPr>
        <sz val="10"/>
        <rFont val="WenQuanYi Zen Hei"/>
        <family val="2"/>
      </rPr>
      <t xml:space="preserve">시즌 유료 턴 수 기준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승급 조건을 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이상이 모집단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</t>
    </r>
  </si>
  <si>
    <r>
      <rPr>
        <sz val="10"/>
        <rFont val="WenQuanYi Zen Hei"/>
        <family val="2"/>
      </rPr>
      <t xml:space="preserve">경쟁을 상시화해 활동을 유도하지만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남이 잘하면 내가 강등되는 구조라 상위 크리에이터의 이탈 압력도 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절대 기준을 쓰면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 번 오르면 지켜진다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안정성으로 차별화 가능</t>
    </r>
  </si>
  <si>
    <t xml:space="preserve">환수 조항의 절제 수준에서 둠칫이 가장 앞선다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</si>
  <si>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환수하고 기본 인센티브는 건드리지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케이브덕은 전속 기간 내 적립 인센티브를 전액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한정하되 소명 기회 부여</t>
    </r>
  </si>
  <si>
    <r>
      <rPr>
        <sz val="10"/>
        <rFont val="WenQuanYi Zen Hei"/>
        <family val="2"/>
      </rPr>
      <t xml:space="preserve">환수 범위를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위반으로 얻은 초과분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한정하는 것이 합리적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이 형태가 진입 저항이 가장 낮음</t>
    </r>
  </si>
  <si>
    <t xml:space="preserve">둠칫 오리지널은 저작권을 사들이는 유일한 사례다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</si>
  <si>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구매한 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작가와 조율 과정을 거쳐 오리지널 작품으로 공개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대가는 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+5%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</si>
  <si>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독점 대여가 아니라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매입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크리에이터에게는 되돌릴 수 없는 결정이므로 계약금 수준이 관건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IP</t>
    </r>
    <r>
      <rPr>
        <sz val="10"/>
        <rFont val="WenQuanYi Zen Hei"/>
        <family val="2"/>
      </rPr>
      <t xml:space="preserve">를 확보하려 한다면 참고할 유일한 선례이나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저항이 가장 큰 방식이기도 함</t>
    </r>
  </si>
  <si>
    <t xml:space="preserve">위프는 배수만 공개하고 기준 요율을 숨긴다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</si>
  <si>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대상 채팅 수익의 일정 비율 정산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이라 기준값이 비공개인데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배라는 배수는 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크리에이터는 등급을 올릴 동기는 갖지만 실제 얼마를 받을지는 알 수 없음</t>
    </r>
  </si>
  <si>
    <r>
      <rPr>
        <sz val="10"/>
        <rFont val="WenQuanYi Zen Hei"/>
        <family val="2"/>
      </rPr>
      <t xml:space="preserve">공개의 외형만 갖춘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공개할 때는 기준값과 모수를 함께 밝혀야 실제 차별화가 됨 — 배수만 밝히는 것은 정보가 아님</t>
    </r>
  </si>
  <si>
    <t xml:space="preserve">현금화 게이트가 정산율만큼 중요한 축이다</t>
  </si>
  <si>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 현금화를 막거나 등급 뒤에 둠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경로 자체 없음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기프티콘만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후만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특히 위프는 루키 시절 적립분을 승급 후에도 현금화 못 하게 함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</si>
  <si>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언제부터 현금을 받을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신인 크리에이터의 체감을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지급까지의 거리를 짧게 만들면 그 자체로 강한 소구점</t>
    </r>
  </si>
  <si>
    <t xml:space="preserve">위프는 요율뿐 아니라 정산 대상 범위까지 등급으로 차등한다</t>
  </si>
  <si>
    <r>
      <rPr>
        <sz val="10"/>
        <rFont val="WenQuanYi Zen Hei"/>
        <family val="2"/>
      </rPr>
      <t xml:space="preserve">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루키는 요율도 낮고 정산되는 작품 수도 적음</t>
    </r>
  </si>
  <si>
    <r>
      <rPr>
        <sz val="10"/>
        <rFont val="WenQuanYi Zen Hei"/>
        <family val="2"/>
      </rPr>
      <t xml:space="preserve">이중 페널티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신인일수록 불리해지는 설계이며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반대로 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 정산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낮은 진입 문턱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신인 풀에서 명확한 대비가 생김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</si>
  <si>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</si>
  <si>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</si>
  <si>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</si>
  <si>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</si>
  <si>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</si>
  <si>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</si>
  <si>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</si>
  <si>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</si>
  <si>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</si>
  <si>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</si>
  <si>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</si>
  <si>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</si>
  <si>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</si>
  <si>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</si>
  <si>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</si>
  <si>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</si>
  <si>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</si>
  <si>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</si>
  <si>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</si>
  <si>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</si>
  <si>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</si>
  <si>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</si>
  <si>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</si>
  <si>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</si>
  <si>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</si>
  <si>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</si>
  <si>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</si>
  <si>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</si>
  <si>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</si>
  <si>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</si>
  <si>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</si>
  <si>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</si>
  <si>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</si>
  <si>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WenQuanYi Zen Hei"/>
        <family val="2"/>
      </rPr>
      <t xml:space="preserve">정산 비율을 알 수 없거나 반쪽만 공개한 곳이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</si>
  <si>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</si>
  <si>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</si>
  <si>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</si>
  <si>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</si>
  <si>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</si>
  <si>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조건 없이 지원만 주는 극단값이다</t>
  </si>
  <si>
    <r>
      <rPr>
        <sz val="10"/>
        <rFont val="WenQuanYi Zen Hei"/>
        <family val="2"/>
      </rPr>
      <t xml:space="preserve">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등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그러면서 제약이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</si>
  <si>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단기적으로 크리에이터에게 가장 매력적이지만 재원이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조건 경쟁으로 맞붙기보다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지속 가능한 정산 구조를 명시하는 쪽이 중장기 신뢰에서 유리할 수 있음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</si>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</sst>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#,##0"/>
    <numFmt numFmtId="172" formatCode="#,##0.00\원"/>
    <numFmt numFmtId="173" formatCode="0.0%"/>
    <numFmt numFmtId="174" formatCode="0.00%"/>
    <numFmt numFmtId="175" formatCode="0"/>
    <numFmt numFmtId="176" formatCode="#,##0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7"/>
    <col collapsed="false" customWidth="true" hidden="false" outlineLevel="0" max="4" min="4" style="0" width="29"/>
    <col collapsed="false" customWidth="true" hidden="false" outlineLevel="0" max="5" min="5" style="0" width="33"/>
    <col collapsed="false" customWidth="true" hidden="false" outlineLevel="0" max="6" min="6" style="0" width="25"/>
    <col collapsed="false" customWidth="true" hidden="false" outlineLevel="0" max="7" min="7" style="0" width="29"/>
    <col collapsed="false" customWidth="true" hidden="false" outlineLevel="0" max="8" min="8" style="0" width="25"/>
    <col collapsed="false" customWidth="true" hidden="false" outlineLevel="0" max="9" min="9" style="0" width="36"/>
    <col collapsed="false" customWidth="true" hidden="false" outlineLevel="0" max="10" min="10" style="0" width="23"/>
    <col collapsed="false" customWidth="true" hidden="false" outlineLevel="0" max="11" min="11" style="0" width="25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9"/>
    <col collapsed="false" customWidth="true" hidden="false" outlineLevel="0" max="15" min="15" style="0" width="34"/>
    <col collapsed="false" customWidth="true" hidden="false" outlineLevel="0" max="17" min="16" style="0" width="28"/>
    <col collapsed="false" customWidth="true" hidden="false" outlineLevel="0" max="18" min="18" style="0" width="38"/>
    <col collapsed="false" customWidth="true" hidden="false" outlineLevel="0" max="19" min="19" style="0" width="36"/>
    <col collapsed="false" customWidth="true" hidden="false" outlineLevel="0" max="20" min="20" style="0" width="4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  <c r="T5" s="3" t="s">
        <v>22</v>
      </c>
    </row>
    <row r="6" customFormat="false" ht="39.55" hidden="false" customHeight="false" outlineLevel="0" collapsed="false">
      <c r="A6" s="4" t="s">
        <v>23</v>
      </c>
      <c r="B6" s="5" t="s">
        <v>24</v>
      </c>
      <c r="C6" s="5" t="s">
        <v>24</v>
      </c>
      <c r="D6" s="5" t="s">
        <v>25</v>
      </c>
      <c r="E6" s="5" t="s">
        <v>26</v>
      </c>
      <c r="F6" s="5" t="s">
        <v>24</v>
      </c>
      <c r="G6" s="5" t="s">
        <v>27</v>
      </c>
      <c r="H6" s="5" t="s">
        <v>28</v>
      </c>
      <c r="I6" s="5" t="s">
        <v>29</v>
      </c>
      <c r="J6" s="5" t="s">
        <v>30</v>
      </c>
      <c r="K6" s="5" t="s">
        <v>24</v>
      </c>
      <c r="L6" s="5" t="s">
        <v>31</v>
      </c>
      <c r="M6" s="5" t="s">
        <v>32</v>
      </c>
      <c r="N6" s="5" t="s">
        <v>33</v>
      </c>
      <c r="O6" s="5" t="s">
        <v>34</v>
      </c>
      <c r="P6" s="5" t="s">
        <v>35</v>
      </c>
      <c r="Q6" s="5" t="s">
        <v>36</v>
      </c>
      <c r="R6" s="5" t="s">
        <v>37</v>
      </c>
      <c r="S6" s="5" t="s">
        <v>38</v>
      </c>
      <c r="T6" s="5" t="s">
        <v>39</v>
      </c>
    </row>
    <row r="7" customFormat="false" ht="39.55" hidden="false" customHeight="false" outlineLevel="0" collapsed="false">
      <c r="A7" s="4" t="s">
        <v>40</v>
      </c>
      <c r="B7" s="6" t="s">
        <v>41</v>
      </c>
      <c r="C7" s="6" t="s">
        <v>42</v>
      </c>
      <c r="D7" s="6" t="s">
        <v>42</v>
      </c>
      <c r="E7" s="7" t="s">
        <v>43</v>
      </c>
      <c r="F7" s="7" t="s">
        <v>44</v>
      </c>
      <c r="G7" s="5" t="s">
        <v>45</v>
      </c>
      <c r="H7" s="7" t="s">
        <v>43</v>
      </c>
      <c r="I7" s="5" t="s">
        <v>46</v>
      </c>
      <c r="J7" s="7" t="s">
        <v>43</v>
      </c>
      <c r="K7" s="5" t="s">
        <v>45</v>
      </c>
      <c r="L7" s="7" t="s">
        <v>43</v>
      </c>
      <c r="M7" s="7" t="s">
        <v>47</v>
      </c>
      <c r="N7" s="6" t="s">
        <v>48</v>
      </c>
      <c r="O7" s="5" t="s">
        <v>49</v>
      </c>
      <c r="P7" s="7" t="s">
        <v>50</v>
      </c>
      <c r="Q7" s="7" t="s">
        <v>43</v>
      </c>
      <c r="R7" s="7" t="s">
        <v>43</v>
      </c>
      <c r="S7" s="5" t="s">
        <v>51</v>
      </c>
      <c r="T7" s="5" t="s">
        <v>52</v>
      </c>
    </row>
    <row r="8" customFormat="false" ht="39.55" hidden="false" customHeight="false" outlineLevel="0" collapsed="false">
      <c r="A8" s="8" t="s">
        <v>53</v>
      </c>
      <c r="B8" s="9" t="s">
        <v>54</v>
      </c>
      <c r="C8" s="9" t="s">
        <v>55</v>
      </c>
      <c r="D8" s="9" t="s">
        <v>56</v>
      </c>
      <c r="E8" s="9" t="s">
        <v>57</v>
      </c>
      <c r="F8" s="9" t="s">
        <v>45</v>
      </c>
      <c r="G8" s="9" t="s">
        <v>45</v>
      </c>
      <c r="H8" s="9" t="s">
        <v>45</v>
      </c>
      <c r="I8" s="9" t="s">
        <v>58</v>
      </c>
      <c r="J8" s="9" t="s">
        <v>59</v>
      </c>
      <c r="K8" s="9" t="s">
        <v>60</v>
      </c>
      <c r="L8" s="9" t="s">
        <v>45</v>
      </c>
      <c r="M8" s="9" t="s">
        <v>61</v>
      </c>
      <c r="N8" s="9" t="s">
        <v>62</v>
      </c>
      <c r="O8" s="9" t="s">
        <v>45</v>
      </c>
      <c r="P8" s="9" t="s">
        <v>45</v>
      </c>
      <c r="Q8" s="9" t="s">
        <v>45</v>
      </c>
      <c r="R8" s="9" t="s">
        <v>45</v>
      </c>
      <c r="S8" s="9" t="s">
        <v>63</v>
      </c>
      <c r="T8" s="9" t="s">
        <v>64</v>
      </c>
    </row>
    <row r="9" customFormat="false" ht="77.6" hidden="false" customHeight="false" outlineLevel="0" collapsed="false">
      <c r="A9" s="8" t="s">
        <v>65</v>
      </c>
      <c r="B9" s="9" t="s">
        <v>66</v>
      </c>
      <c r="C9" s="9" t="s">
        <v>67</v>
      </c>
      <c r="D9" s="9" t="s">
        <v>68</v>
      </c>
      <c r="E9" s="9" t="s">
        <v>69</v>
      </c>
      <c r="F9" s="9" t="s">
        <v>45</v>
      </c>
      <c r="G9" s="9" t="s">
        <v>45</v>
      </c>
      <c r="H9" s="9" t="s">
        <v>45</v>
      </c>
      <c r="I9" s="9" t="s">
        <v>70</v>
      </c>
      <c r="J9" s="9" t="s">
        <v>45</v>
      </c>
      <c r="K9" s="9" t="s">
        <v>45</v>
      </c>
      <c r="L9" s="9" t="s">
        <v>45</v>
      </c>
      <c r="M9" s="9" t="s">
        <v>71</v>
      </c>
      <c r="N9" s="9" t="s">
        <v>72</v>
      </c>
      <c r="O9" s="9" t="s">
        <v>45</v>
      </c>
      <c r="P9" s="9" t="s">
        <v>45</v>
      </c>
      <c r="Q9" s="9" t="s">
        <v>45</v>
      </c>
      <c r="R9" s="9" t="s">
        <v>45</v>
      </c>
      <c r="S9" s="10" t="s">
        <v>73</v>
      </c>
      <c r="T9" s="9" t="s">
        <v>74</v>
      </c>
    </row>
    <row r="10" customFormat="false" ht="39.55" hidden="false" customHeight="false" outlineLevel="0" collapsed="false">
      <c r="A10" s="8" t="s">
        <v>75</v>
      </c>
      <c r="B10" s="9" t="s">
        <v>76</v>
      </c>
      <c r="C10" s="9" t="s">
        <v>77</v>
      </c>
      <c r="D10" s="9" t="s">
        <v>78</v>
      </c>
      <c r="E10" s="9" t="s">
        <v>78</v>
      </c>
      <c r="F10" s="9" t="s">
        <v>45</v>
      </c>
      <c r="G10" s="9" t="s">
        <v>45</v>
      </c>
      <c r="H10" s="9" t="s">
        <v>45</v>
      </c>
      <c r="I10" s="9" t="s">
        <v>79</v>
      </c>
      <c r="J10" s="9" t="s">
        <v>45</v>
      </c>
      <c r="K10" s="9" t="s">
        <v>45</v>
      </c>
      <c r="L10" s="9" t="s">
        <v>45</v>
      </c>
      <c r="M10" s="9" t="s">
        <v>80</v>
      </c>
      <c r="N10" s="9" t="s">
        <v>81</v>
      </c>
      <c r="O10" s="9" t="s">
        <v>45</v>
      </c>
      <c r="P10" s="9" t="s">
        <v>45</v>
      </c>
      <c r="Q10" s="9" t="s">
        <v>45</v>
      </c>
      <c r="R10" s="9" t="s">
        <v>45</v>
      </c>
      <c r="S10" s="9" t="s">
        <v>45</v>
      </c>
      <c r="T10" s="9" t="s">
        <v>82</v>
      </c>
    </row>
    <row r="11" customFormat="false" ht="52.2" hidden="false" customHeight="false" outlineLevel="0" collapsed="false">
      <c r="A11" s="8" t="s">
        <v>83</v>
      </c>
      <c r="B11" s="9" t="s">
        <v>84</v>
      </c>
      <c r="C11" s="9" t="s">
        <v>84</v>
      </c>
      <c r="D11" s="9" t="s">
        <v>84</v>
      </c>
      <c r="E11" s="10" t="s">
        <v>85</v>
      </c>
      <c r="F11" s="9" t="s">
        <v>45</v>
      </c>
      <c r="G11" s="9" t="s">
        <v>45</v>
      </c>
      <c r="H11" s="9" t="s">
        <v>45</v>
      </c>
      <c r="I11" s="9" t="s">
        <v>86</v>
      </c>
      <c r="J11" s="9" t="s">
        <v>45</v>
      </c>
      <c r="K11" s="9" t="s">
        <v>45</v>
      </c>
      <c r="L11" s="9" t="s">
        <v>45</v>
      </c>
      <c r="M11" s="9" t="s">
        <v>84</v>
      </c>
      <c r="N11" s="9" t="s">
        <v>84</v>
      </c>
      <c r="O11" s="9" t="s">
        <v>45</v>
      </c>
      <c r="P11" s="9" t="s">
        <v>45</v>
      </c>
      <c r="Q11" s="9" t="s">
        <v>45</v>
      </c>
      <c r="R11" s="9" t="s">
        <v>45</v>
      </c>
      <c r="S11" s="9" t="s">
        <v>45</v>
      </c>
      <c r="T11" s="9" t="s">
        <v>84</v>
      </c>
    </row>
    <row r="12" customFormat="false" ht="102.95" hidden="false" customHeight="false" outlineLevel="0" collapsed="false">
      <c r="A12" s="8" t="s">
        <v>87</v>
      </c>
      <c r="B12" s="9" t="s">
        <v>88</v>
      </c>
      <c r="C12" s="10" t="s">
        <v>89</v>
      </c>
      <c r="D12" s="10" t="s">
        <v>90</v>
      </c>
      <c r="E12" s="9" t="s">
        <v>91</v>
      </c>
      <c r="F12" s="10" t="s">
        <v>92</v>
      </c>
      <c r="G12" s="9" t="s">
        <v>45</v>
      </c>
      <c r="H12" s="9" t="s">
        <v>45</v>
      </c>
      <c r="I12" s="9" t="s">
        <v>93</v>
      </c>
      <c r="J12" s="9" t="s">
        <v>45</v>
      </c>
      <c r="K12" s="9" t="s">
        <v>45</v>
      </c>
      <c r="L12" s="9" t="s">
        <v>45</v>
      </c>
      <c r="M12" s="9" t="s">
        <v>94</v>
      </c>
      <c r="N12" s="9" t="s">
        <v>95</v>
      </c>
      <c r="O12" s="9" t="s">
        <v>45</v>
      </c>
      <c r="P12" s="9" t="s">
        <v>45</v>
      </c>
      <c r="Q12" s="9" t="s">
        <v>45</v>
      </c>
      <c r="R12" s="9" t="s">
        <v>45</v>
      </c>
      <c r="S12" s="9" t="s">
        <v>45</v>
      </c>
      <c r="T12" s="9" t="s">
        <v>45</v>
      </c>
    </row>
    <row r="13" customFormat="false" ht="26.85" hidden="false" customHeight="false" outlineLevel="0" collapsed="false">
      <c r="A13" s="8" t="s">
        <v>96</v>
      </c>
      <c r="B13" s="9" t="s">
        <v>97</v>
      </c>
      <c r="C13" s="9" t="s">
        <v>98</v>
      </c>
      <c r="D13" s="9" t="s">
        <v>99</v>
      </c>
      <c r="E13" s="9" t="s">
        <v>100</v>
      </c>
      <c r="F13" s="9" t="s">
        <v>100</v>
      </c>
      <c r="G13" s="9" t="s">
        <v>45</v>
      </c>
      <c r="H13" s="9" t="s">
        <v>45</v>
      </c>
      <c r="I13" s="9" t="s">
        <v>101</v>
      </c>
      <c r="J13" s="9" t="s">
        <v>45</v>
      </c>
      <c r="K13" s="9" t="s">
        <v>45</v>
      </c>
      <c r="L13" s="9" t="s">
        <v>45</v>
      </c>
      <c r="M13" s="9" t="s">
        <v>100</v>
      </c>
      <c r="N13" s="10" t="s">
        <v>102</v>
      </c>
      <c r="O13" s="9" t="s">
        <v>45</v>
      </c>
      <c r="P13" s="9" t="s">
        <v>45</v>
      </c>
      <c r="Q13" s="9" t="s">
        <v>45</v>
      </c>
      <c r="R13" s="9" t="s">
        <v>45</v>
      </c>
      <c r="S13" s="9" t="s">
        <v>45</v>
      </c>
      <c r="T13" s="9" t="s">
        <v>45</v>
      </c>
    </row>
    <row r="14" customFormat="false" ht="90.25" hidden="false" customHeight="false" outlineLevel="0" collapsed="false">
      <c r="A14" s="8" t="s">
        <v>103</v>
      </c>
      <c r="B14" s="9" t="s">
        <v>104</v>
      </c>
      <c r="C14" s="10" t="s">
        <v>105</v>
      </c>
      <c r="D14" s="9" t="s">
        <v>106</v>
      </c>
      <c r="E14" s="9" t="s">
        <v>107</v>
      </c>
      <c r="F14" s="9" t="s">
        <v>108</v>
      </c>
      <c r="G14" s="9" t="s">
        <v>109</v>
      </c>
      <c r="H14" s="9" t="s">
        <v>45</v>
      </c>
      <c r="I14" s="9" t="s">
        <v>110</v>
      </c>
      <c r="J14" s="9" t="s">
        <v>45</v>
      </c>
      <c r="K14" s="9" t="s">
        <v>111</v>
      </c>
      <c r="L14" s="9" t="s">
        <v>45</v>
      </c>
      <c r="M14" s="9" t="s">
        <v>112</v>
      </c>
      <c r="N14" s="9" t="s">
        <v>113</v>
      </c>
      <c r="O14" s="9" t="s">
        <v>114</v>
      </c>
      <c r="P14" s="9" t="s">
        <v>115</v>
      </c>
      <c r="Q14" s="9" t="s">
        <v>116</v>
      </c>
      <c r="R14" s="9" t="s">
        <v>117</v>
      </c>
      <c r="S14" s="10" t="s">
        <v>118</v>
      </c>
      <c r="T14" s="9" t="s">
        <v>119</v>
      </c>
    </row>
    <row r="15" customFormat="false" ht="52.2" hidden="false" customHeight="false" outlineLevel="0" collapsed="false">
      <c r="A15" s="8" t="s">
        <v>120</v>
      </c>
      <c r="B15" s="9" t="s">
        <v>121</v>
      </c>
      <c r="C15" s="9" t="s">
        <v>84</v>
      </c>
      <c r="D15" s="9" t="s">
        <v>122</v>
      </c>
      <c r="E15" s="9" t="s">
        <v>123</v>
      </c>
      <c r="F15" s="9" t="s">
        <v>45</v>
      </c>
      <c r="G15" s="9" t="s">
        <v>45</v>
      </c>
      <c r="H15" s="9" t="s">
        <v>45</v>
      </c>
      <c r="I15" s="9" t="s">
        <v>124</v>
      </c>
      <c r="J15" s="9" t="s">
        <v>45</v>
      </c>
      <c r="K15" s="9" t="s">
        <v>45</v>
      </c>
      <c r="L15" s="9" t="s">
        <v>45</v>
      </c>
      <c r="M15" s="9" t="s">
        <v>125</v>
      </c>
      <c r="N15" s="9" t="s">
        <v>84</v>
      </c>
      <c r="O15" s="9" t="s">
        <v>45</v>
      </c>
      <c r="P15" s="9" t="s">
        <v>45</v>
      </c>
      <c r="Q15" s="9" t="s">
        <v>45</v>
      </c>
      <c r="R15" s="9" t="s">
        <v>45</v>
      </c>
      <c r="S15" s="9" t="s">
        <v>45</v>
      </c>
      <c r="T15" s="9" t="s">
        <v>45</v>
      </c>
    </row>
    <row r="16" customFormat="false" ht="52.2" hidden="false" customHeight="false" outlineLevel="0" collapsed="false">
      <c r="A16" s="8" t="s">
        <v>126</v>
      </c>
      <c r="B16" s="9" t="s">
        <v>127</v>
      </c>
      <c r="C16" s="9" t="s">
        <v>128</v>
      </c>
      <c r="D16" s="9" t="s">
        <v>129</v>
      </c>
      <c r="E16" s="9" t="s">
        <v>130</v>
      </c>
      <c r="F16" s="9" t="s">
        <v>45</v>
      </c>
      <c r="G16" s="9" t="s">
        <v>45</v>
      </c>
      <c r="H16" s="9" t="s">
        <v>45</v>
      </c>
      <c r="I16" s="9" t="s">
        <v>131</v>
      </c>
      <c r="J16" s="9" t="s">
        <v>45</v>
      </c>
      <c r="K16" s="9" t="s">
        <v>45</v>
      </c>
      <c r="L16" s="9" t="s">
        <v>45</v>
      </c>
      <c r="M16" s="9" t="s">
        <v>132</v>
      </c>
      <c r="N16" s="9" t="s">
        <v>78</v>
      </c>
      <c r="O16" s="9" t="s">
        <v>45</v>
      </c>
      <c r="P16" s="9" t="s">
        <v>45</v>
      </c>
      <c r="Q16" s="9" t="s">
        <v>45</v>
      </c>
      <c r="R16" s="9" t="s">
        <v>45</v>
      </c>
      <c r="S16" s="9" t="s">
        <v>45</v>
      </c>
      <c r="T16" s="9" t="s">
        <v>133</v>
      </c>
    </row>
    <row r="17" customFormat="false" ht="77.6" hidden="false" customHeight="false" outlineLevel="0" collapsed="false">
      <c r="A17" s="8" t="s">
        <v>134</v>
      </c>
      <c r="B17" s="9" t="s">
        <v>135</v>
      </c>
      <c r="C17" s="9" t="s">
        <v>136</v>
      </c>
      <c r="D17" s="9" t="s">
        <v>137</v>
      </c>
      <c r="E17" s="10" t="s">
        <v>138</v>
      </c>
      <c r="F17" s="10" t="s">
        <v>139</v>
      </c>
      <c r="G17" s="9" t="s">
        <v>45</v>
      </c>
      <c r="H17" s="9" t="s">
        <v>45</v>
      </c>
      <c r="I17" s="9" t="s">
        <v>140</v>
      </c>
      <c r="J17" s="9" t="s">
        <v>45</v>
      </c>
      <c r="K17" s="9" t="s">
        <v>45</v>
      </c>
      <c r="L17" s="9" t="s">
        <v>45</v>
      </c>
      <c r="M17" s="9" t="s">
        <v>141</v>
      </c>
      <c r="N17" s="9" t="s">
        <v>78</v>
      </c>
      <c r="O17" s="9" t="s">
        <v>45</v>
      </c>
      <c r="P17" s="9" t="s">
        <v>45</v>
      </c>
      <c r="Q17" s="9" t="s">
        <v>45</v>
      </c>
      <c r="R17" s="9" t="s">
        <v>45</v>
      </c>
      <c r="S17" s="9" t="s">
        <v>45</v>
      </c>
      <c r="T17" s="9" t="s">
        <v>142</v>
      </c>
    </row>
    <row r="18" customFormat="false" ht="52.2" hidden="false" customHeight="false" outlineLevel="0" collapsed="false">
      <c r="A18" s="8" t="s">
        <v>143</v>
      </c>
      <c r="B18" s="9" t="s">
        <v>84</v>
      </c>
      <c r="C18" s="9" t="s">
        <v>144</v>
      </c>
      <c r="D18" s="9" t="s">
        <v>145</v>
      </c>
      <c r="E18" s="9" t="s">
        <v>146</v>
      </c>
      <c r="F18" s="9" t="s">
        <v>45</v>
      </c>
      <c r="G18" s="9" t="s">
        <v>45</v>
      </c>
      <c r="H18" s="9" t="s">
        <v>45</v>
      </c>
      <c r="I18" s="9" t="s">
        <v>147</v>
      </c>
      <c r="J18" s="9" t="s">
        <v>45</v>
      </c>
      <c r="K18" s="9" t="s">
        <v>45</v>
      </c>
      <c r="L18" s="9" t="s">
        <v>45</v>
      </c>
      <c r="M18" s="9" t="s">
        <v>148</v>
      </c>
      <c r="N18" s="9" t="s">
        <v>78</v>
      </c>
      <c r="O18" s="9" t="s">
        <v>45</v>
      </c>
      <c r="P18" s="9" t="s">
        <v>45</v>
      </c>
      <c r="Q18" s="9" t="s">
        <v>45</v>
      </c>
      <c r="R18" s="9" t="s">
        <v>45</v>
      </c>
      <c r="S18" s="9" t="s">
        <v>45</v>
      </c>
      <c r="T18" s="9" t="s">
        <v>149</v>
      </c>
    </row>
    <row r="19" customFormat="false" ht="102.95" hidden="false" customHeight="false" outlineLevel="0" collapsed="false">
      <c r="A19" s="8" t="s">
        <v>150</v>
      </c>
      <c r="B19" s="9" t="s">
        <v>151</v>
      </c>
      <c r="C19" s="9" t="s">
        <v>78</v>
      </c>
      <c r="D19" s="9" t="s">
        <v>78</v>
      </c>
      <c r="E19" s="9" t="s">
        <v>78</v>
      </c>
      <c r="F19" s="9" t="s">
        <v>45</v>
      </c>
      <c r="G19" s="9" t="s">
        <v>45</v>
      </c>
      <c r="H19" s="9" t="s">
        <v>45</v>
      </c>
      <c r="I19" s="9" t="s">
        <v>45</v>
      </c>
      <c r="J19" s="9" t="s">
        <v>45</v>
      </c>
      <c r="K19" s="9" t="s">
        <v>45</v>
      </c>
      <c r="L19" s="9" t="s">
        <v>45</v>
      </c>
      <c r="M19" s="9" t="s">
        <v>152</v>
      </c>
      <c r="N19" s="9" t="s">
        <v>153</v>
      </c>
      <c r="O19" s="9" t="s">
        <v>45</v>
      </c>
      <c r="P19" s="9" t="s">
        <v>45</v>
      </c>
      <c r="Q19" s="9" t="s">
        <v>45</v>
      </c>
      <c r="R19" s="9" t="s">
        <v>45</v>
      </c>
      <c r="S19" s="9" t="s">
        <v>45</v>
      </c>
      <c r="T19" s="9" t="s">
        <v>154</v>
      </c>
    </row>
    <row r="20" customFormat="false" ht="90.25" hidden="false" customHeight="false" outlineLevel="0" collapsed="false">
      <c r="A20" s="8" t="s">
        <v>155</v>
      </c>
      <c r="B20" s="11" t="s">
        <v>156</v>
      </c>
      <c r="C20" s="11" t="s">
        <v>78</v>
      </c>
      <c r="D20" s="11" t="s">
        <v>78</v>
      </c>
      <c r="E20" s="11" t="s">
        <v>78</v>
      </c>
      <c r="F20" s="11" t="s">
        <v>45</v>
      </c>
      <c r="G20" s="12" t="s">
        <v>157</v>
      </c>
      <c r="H20" s="11" t="s">
        <v>45</v>
      </c>
      <c r="I20" s="11" t="s">
        <v>158</v>
      </c>
      <c r="J20" s="11" t="s">
        <v>45</v>
      </c>
      <c r="K20" s="11" t="s">
        <v>45</v>
      </c>
      <c r="L20" s="11" t="s">
        <v>45</v>
      </c>
      <c r="M20" s="11" t="s">
        <v>159</v>
      </c>
      <c r="N20" s="11" t="s">
        <v>160</v>
      </c>
      <c r="O20" s="11" t="s">
        <v>45</v>
      </c>
      <c r="P20" s="11" t="s">
        <v>45</v>
      </c>
      <c r="Q20" s="11" t="s">
        <v>45</v>
      </c>
      <c r="R20" s="11" t="s">
        <v>161</v>
      </c>
      <c r="S20" s="11" t="s">
        <v>45</v>
      </c>
      <c r="T20" s="11" t="s">
        <v>162</v>
      </c>
    </row>
    <row r="21" customFormat="false" ht="26.85" hidden="false" customHeight="false" outlineLevel="0" collapsed="false">
      <c r="A21" s="8" t="s">
        <v>163</v>
      </c>
      <c r="B21" s="9" t="s">
        <v>164</v>
      </c>
      <c r="C21" s="9" t="s">
        <v>165</v>
      </c>
      <c r="D21" s="9" t="s">
        <v>78</v>
      </c>
      <c r="E21" s="9" t="s">
        <v>78</v>
      </c>
      <c r="F21" s="9" t="s">
        <v>45</v>
      </c>
      <c r="G21" s="9" t="s">
        <v>45</v>
      </c>
      <c r="H21" s="9" t="s">
        <v>45</v>
      </c>
      <c r="I21" s="9" t="s">
        <v>45</v>
      </c>
      <c r="J21" s="9" t="s">
        <v>45</v>
      </c>
      <c r="K21" s="9" t="s">
        <v>45</v>
      </c>
      <c r="L21" s="9" t="s">
        <v>45</v>
      </c>
      <c r="M21" s="9" t="s">
        <v>166</v>
      </c>
      <c r="N21" s="9" t="s">
        <v>78</v>
      </c>
      <c r="O21" s="9" t="s">
        <v>45</v>
      </c>
      <c r="P21" s="9" t="s">
        <v>45</v>
      </c>
      <c r="Q21" s="9" t="s">
        <v>45</v>
      </c>
      <c r="R21" s="9" t="s">
        <v>45</v>
      </c>
      <c r="S21" s="9" t="s">
        <v>45</v>
      </c>
      <c r="T21" s="9" t="s">
        <v>78</v>
      </c>
    </row>
    <row r="22" customFormat="false" ht="39.55" hidden="false" customHeight="false" outlineLevel="0" collapsed="false">
      <c r="A22" s="8" t="s">
        <v>167</v>
      </c>
      <c r="B22" s="9" t="s">
        <v>168</v>
      </c>
      <c r="C22" s="9" t="s">
        <v>169</v>
      </c>
      <c r="D22" s="9" t="s">
        <v>170</v>
      </c>
      <c r="E22" s="9" t="s">
        <v>78</v>
      </c>
      <c r="F22" s="9" t="s">
        <v>45</v>
      </c>
      <c r="G22" s="9" t="s">
        <v>171</v>
      </c>
      <c r="H22" s="9" t="s">
        <v>45</v>
      </c>
      <c r="I22" s="9" t="s">
        <v>172</v>
      </c>
      <c r="J22" s="9" t="s">
        <v>45</v>
      </c>
      <c r="K22" s="9" t="s">
        <v>45</v>
      </c>
      <c r="L22" s="9" t="s">
        <v>45</v>
      </c>
      <c r="M22" s="9" t="s">
        <v>173</v>
      </c>
      <c r="N22" s="9" t="s">
        <v>78</v>
      </c>
      <c r="O22" s="9" t="s">
        <v>45</v>
      </c>
      <c r="P22" s="9" t="s">
        <v>45</v>
      </c>
      <c r="Q22" s="9" t="s">
        <v>45</v>
      </c>
      <c r="R22" s="9" t="s">
        <v>45</v>
      </c>
      <c r="S22" s="9" t="s">
        <v>45</v>
      </c>
      <c r="T22" s="9" t="s">
        <v>174</v>
      </c>
    </row>
    <row r="23" customFormat="false" ht="26.85" hidden="false" customHeight="false" outlineLevel="0" collapsed="false">
      <c r="A23" s="8" t="s">
        <v>175</v>
      </c>
      <c r="B23" s="9" t="s">
        <v>176</v>
      </c>
      <c r="C23" s="9" t="s">
        <v>177</v>
      </c>
      <c r="D23" s="9" t="s">
        <v>176</v>
      </c>
      <c r="E23" s="9" t="s">
        <v>178</v>
      </c>
      <c r="F23" s="9" t="s">
        <v>179</v>
      </c>
      <c r="G23" s="9" t="s">
        <v>180</v>
      </c>
      <c r="H23" s="9" t="s">
        <v>181</v>
      </c>
      <c r="I23" s="9" t="s">
        <v>182</v>
      </c>
      <c r="J23" s="9" t="s">
        <v>183</v>
      </c>
      <c r="K23" s="9" t="s">
        <v>184</v>
      </c>
      <c r="L23" s="9" t="s">
        <v>185</v>
      </c>
      <c r="M23" s="9" t="s">
        <v>186</v>
      </c>
      <c r="N23" s="9" t="s">
        <v>187</v>
      </c>
      <c r="O23" s="9" t="s">
        <v>188</v>
      </c>
      <c r="P23" s="9" t="s">
        <v>176</v>
      </c>
      <c r="Q23" s="9" t="s">
        <v>189</v>
      </c>
      <c r="R23" s="9" t="s">
        <v>190</v>
      </c>
      <c r="S23" s="9" t="s">
        <v>191</v>
      </c>
      <c r="T23" s="9" t="s">
        <v>192</v>
      </c>
    </row>
    <row r="25" customFormat="false" ht="15" hidden="false" customHeight="false" outlineLevel="0" collapsed="false">
      <c r="A25" s="13" t="s">
        <v>193</v>
      </c>
    </row>
    <row r="26" customFormat="false" ht="15" hidden="false" customHeight="false" outlineLevel="0" collapsed="false">
      <c r="A26" s="14" t="s">
        <v>194</v>
      </c>
    </row>
    <row r="27" customFormat="false" ht="15" hidden="false" customHeight="false" outlineLevel="0" collapsed="false">
      <c r="A27" s="14" t="s">
        <v>195</v>
      </c>
    </row>
    <row r="28" customFormat="false" ht="15" hidden="false" customHeight="false" outlineLevel="0" collapsed="false">
      <c r="A28" s="14" t="s">
        <v>196</v>
      </c>
    </row>
    <row r="29" customFormat="false" ht="15" hidden="false" customHeight="false" outlineLevel="0" collapsed="false">
      <c r="A29" s="14" t="s">
        <v>197</v>
      </c>
    </row>
    <row r="30" customFormat="false" ht="15" hidden="false" customHeight="false" outlineLevel="0" collapsed="false">
      <c r="A30" s="14" t="s">
        <v>198</v>
      </c>
    </row>
    <row r="31" customFormat="false" ht="15" hidden="false" customHeight="false" outlineLevel="0" collapsed="false">
      <c r="A31" s="14" t="s">
        <v>199</v>
      </c>
    </row>
    <row r="32" customFormat="false" ht="15" hidden="false" customHeight="false" outlineLevel="0" collapsed="false">
      <c r="A32" s="14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31"/>
    <col collapsed="false" customWidth="true" hidden="false" outlineLevel="0" max="5" min="5" style="0" width="23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29"/>
    <col collapsed="false" customWidth="true" hidden="false" outlineLevel="0" max="9" min="9" style="0" width="27"/>
    <col collapsed="false" customWidth="true" hidden="false" outlineLevel="0" max="10" min="10" style="0" width="35"/>
    <col collapsed="false" customWidth="true" hidden="false" outlineLevel="0" max="11" min="11" style="0" width="31"/>
    <col collapsed="false" customWidth="true" hidden="false" outlineLevel="0" max="12" min="12" style="0" width="27"/>
    <col collapsed="false" customWidth="true" hidden="false" outlineLevel="0" max="13" min="13" style="0" width="35"/>
    <col collapsed="false" customWidth="true" hidden="false" outlineLevel="0" max="14" min="14" style="0" width="40"/>
    <col collapsed="false" customWidth="true" hidden="false" outlineLevel="0" max="15" min="15" style="0" width="42"/>
    <col collapsed="false" customWidth="true" hidden="false" outlineLevel="0" max="16" min="16" style="0" width="32"/>
    <col collapsed="false" customWidth="true" hidden="false" outlineLevel="0" max="17" min="17" style="0" width="36"/>
    <col collapsed="false" customWidth="true" hidden="false" outlineLevel="0" max="18" min="18" style="0" width="34"/>
    <col collapsed="false" customWidth="true" hidden="false" outlineLevel="0" max="19" min="19" style="0" width="40"/>
    <col collapsed="false" customWidth="true" hidden="false" outlineLevel="0" max="20" min="20" style="0" width="38"/>
    <col collapsed="false" customWidth="true" hidden="false" outlineLevel="0" max="21" min="21" style="0" width="44"/>
  </cols>
  <sheetData>
    <row r="1" customFormat="false" ht="19.4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24" hidden="false" customHeight="true" outlineLevel="0" collapsed="false">
      <c r="A4" s="15" t="s">
        <v>203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11</v>
      </c>
      <c r="K4" s="15" t="s">
        <v>12</v>
      </c>
      <c r="L4" s="15" t="s">
        <v>13</v>
      </c>
      <c r="M4" s="15" t="s">
        <v>14</v>
      </c>
      <c r="N4" s="15" t="s">
        <v>15</v>
      </c>
      <c r="O4" s="15" t="s">
        <v>16</v>
      </c>
      <c r="P4" s="15" t="s">
        <v>17</v>
      </c>
      <c r="Q4" s="15" t="s">
        <v>18</v>
      </c>
      <c r="R4" s="15" t="s">
        <v>19</v>
      </c>
      <c r="S4" s="15" t="s">
        <v>20</v>
      </c>
      <c r="T4" s="15" t="s">
        <v>21</v>
      </c>
      <c r="U4" s="15" t="s">
        <v>22</v>
      </c>
    </row>
    <row r="5" customFormat="false" ht="26.85" hidden="false" customHeight="false" outlineLevel="0" collapsed="false">
      <c r="A5" s="4" t="s">
        <v>204</v>
      </c>
      <c r="B5" s="4" t="s">
        <v>23</v>
      </c>
      <c r="C5" s="5" t="s">
        <v>205</v>
      </c>
      <c r="D5" s="5" t="s">
        <v>206</v>
      </c>
      <c r="E5" s="5" t="s">
        <v>207</v>
      </c>
      <c r="F5" s="5" t="s">
        <v>45</v>
      </c>
      <c r="G5" s="5" t="s">
        <v>45</v>
      </c>
      <c r="H5" s="5" t="s">
        <v>208</v>
      </c>
      <c r="I5" s="5" t="s">
        <v>209</v>
      </c>
      <c r="J5" s="5" t="s">
        <v>210</v>
      </c>
      <c r="K5" s="5" t="s">
        <v>211</v>
      </c>
      <c r="L5" s="5" t="s">
        <v>212</v>
      </c>
      <c r="M5" s="5" t="s">
        <v>213</v>
      </c>
      <c r="N5" s="5" t="s">
        <v>214</v>
      </c>
      <c r="O5" s="5" t="s">
        <v>215</v>
      </c>
      <c r="P5" s="5" t="s">
        <v>216</v>
      </c>
      <c r="Q5" s="5" t="s">
        <v>217</v>
      </c>
      <c r="R5" s="5" t="s">
        <v>218</v>
      </c>
      <c r="S5" s="5" t="s">
        <v>219</v>
      </c>
      <c r="T5" s="5" t="s">
        <v>220</v>
      </c>
      <c r="U5" s="6" t="s">
        <v>221</v>
      </c>
    </row>
    <row r="6" customFormat="false" ht="52.2" hidden="false" customHeight="false" outlineLevel="0" collapsed="false">
      <c r="A6" s="8"/>
      <c r="B6" s="8" t="s">
        <v>222</v>
      </c>
      <c r="C6" s="9" t="s">
        <v>223</v>
      </c>
      <c r="D6" s="10" t="s">
        <v>224</v>
      </c>
      <c r="E6" s="9" t="s">
        <v>225</v>
      </c>
      <c r="F6" s="9" t="s">
        <v>45</v>
      </c>
      <c r="G6" s="9" t="s">
        <v>226</v>
      </c>
      <c r="H6" s="9" t="s">
        <v>227</v>
      </c>
      <c r="I6" s="9" t="s">
        <v>228</v>
      </c>
      <c r="J6" s="9" t="s">
        <v>229</v>
      </c>
      <c r="K6" s="9" t="s">
        <v>230</v>
      </c>
      <c r="L6" s="9" t="s">
        <v>231</v>
      </c>
      <c r="M6" s="9" t="s">
        <v>232</v>
      </c>
      <c r="N6" s="9" t="s">
        <v>233</v>
      </c>
      <c r="O6" s="9" t="s">
        <v>234</v>
      </c>
      <c r="P6" s="9" t="s">
        <v>235</v>
      </c>
      <c r="Q6" s="9" t="s">
        <v>236</v>
      </c>
      <c r="R6" s="9" t="s">
        <v>237</v>
      </c>
      <c r="S6" s="9" t="s">
        <v>238</v>
      </c>
      <c r="T6" s="9" t="s">
        <v>239</v>
      </c>
      <c r="U6" s="9" t="s">
        <v>240</v>
      </c>
    </row>
    <row r="7" customFormat="false" ht="52.2" hidden="false" customHeight="false" outlineLevel="0" collapsed="false">
      <c r="A7" s="8"/>
      <c r="B7" s="8" t="s">
        <v>241</v>
      </c>
      <c r="C7" s="9" t="s">
        <v>242</v>
      </c>
      <c r="D7" s="9" t="s">
        <v>243</v>
      </c>
      <c r="E7" s="9" t="s">
        <v>244</v>
      </c>
      <c r="F7" s="9" t="s">
        <v>45</v>
      </c>
      <c r="G7" s="9" t="s">
        <v>45</v>
      </c>
      <c r="H7" s="9" t="s">
        <v>245</v>
      </c>
      <c r="I7" s="9" t="s">
        <v>246</v>
      </c>
      <c r="J7" s="9" t="s">
        <v>247</v>
      </c>
      <c r="K7" s="9" t="s">
        <v>248</v>
      </c>
      <c r="L7" s="9" t="s">
        <v>249</v>
      </c>
      <c r="M7" s="9" t="s">
        <v>250</v>
      </c>
      <c r="N7" s="9" t="s">
        <v>251</v>
      </c>
      <c r="O7" s="9" t="s">
        <v>252</v>
      </c>
      <c r="P7" s="9" t="s">
        <v>253</v>
      </c>
      <c r="Q7" s="10" t="s">
        <v>254</v>
      </c>
      <c r="R7" s="10" t="s">
        <v>255</v>
      </c>
      <c r="S7" s="9" t="s">
        <v>256</v>
      </c>
      <c r="T7" s="9" t="s">
        <v>257</v>
      </c>
      <c r="U7" s="9" t="s">
        <v>258</v>
      </c>
    </row>
    <row r="8" customFormat="false" ht="64.9" hidden="false" customHeight="false" outlineLevel="0" collapsed="false">
      <c r="A8" s="8"/>
      <c r="B8" s="8" t="s">
        <v>259</v>
      </c>
      <c r="C8" s="10" t="s">
        <v>260</v>
      </c>
      <c r="D8" s="9" t="s">
        <v>261</v>
      </c>
      <c r="E8" s="10" t="s">
        <v>262</v>
      </c>
      <c r="F8" s="9" t="s">
        <v>45</v>
      </c>
      <c r="G8" s="9" t="s">
        <v>45</v>
      </c>
      <c r="H8" s="9" t="s">
        <v>45</v>
      </c>
      <c r="I8" s="9" t="s">
        <v>263</v>
      </c>
      <c r="J8" s="10" t="s">
        <v>264</v>
      </c>
      <c r="K8" s="9" t="s">
        <v>265</v>
      </c>
      <c r="L8" s="9" t="s">
        <v>266</v>
      </c>
      <c r="M8" s="9" t="s">
        <v>267</v>
      </c>
      <c r="N8" s="9" t="s">
        <v>268</v>
      </c>
      <c r="O8" s="9" t="s">
        <v>269</v>
      </c>
      <c r="P8" s="9" t="s">
        <v>270</v>
      </c>
      <c r="Q8" s="10" t="s">
        <v>271</v>
      </c>
      <c r="R8" s="9" t="s">
        <v>45</v>
      </c>
      <c r="S8" s="9" t="s">
        <v>272</v>
      </c>
      <c r="T8" s="9" t="s">
        <v>273</v>
      </c>
      <c r="U8" s="10" t="s">
        <v>274</v>
      </c>
    </row>
    <row r="9" customFormat="false" ht="64.9" hidden="false" customHeight="false" outlineLevel="0" collapsed="false">
      <c r="A9" s="8"/>
      <c r="B9" s="8" t="s">
        <v>275</v>
      </c>
      <c r="C9" s="9" t="s">
        <v>276</v>
      </c>
      <c r="D9" s="16" t="s">
        <v>277</v>
      </c>
      <c r="E9" s="9" t="s">
        <v>276</v>
      </c>
      <c r="F9" s="9" t="s">
        <v>45</v>
      </c>
      <c r="G9" s="9" t="s">
        <v>278</v>
      </c>
      <c r="H9" s="9" t="s">
        <v>279</v>
      </c>
      <c r="I9" s="9" t="s">
        <v>280</v>
      </c>
      <c r="J9" s="9" t="s">
        <v>281</v>
      </c>
      <c r="K9" s="16" t="s">
        <v>282</v>
      </c>
      <c r="L9" s="9" t="s">
        <v>45</v>
      </c>
      <c r="M9" s="16" t="s">
        <v>283</v>
      </c>
      <c r="N9" s="9" t="s">
        <v>284</v>
      </c>
      <c r="O9" s="9" t="s">
        <v>285</v>
      </c>
      <c r="P9" s="9" t="s">
        <v>45</v>
      </c>
      <c r="Q9" s="9" t="s">
        <v>286</v>
      </c>
      <c r="R9" s="9" t="s">
        <v>45</v>
      </c>
      <c r="S9" s="9" t="s">
        <v>287</v>
      </c>
      <c r="T9" s="9" t="s">
        <v>288</v>
      </c>
      <c r="U9" s="9" t="s">
        <v>289</v>
      </c>
    </row>
    <row r="10" customFormat="false" ht="52.2" hidden="false" customHeight="false" outlineLevel="0" collapsed="false">
      <c r="A10" s="8"/>
      <c r="B10" s="8" t="s">
        <v>290</v>
      </c>
      <c r="C10" s="9" t="s">
        <v>291</v>
      </c>
      <c r="D10" s="16" t="s">
        <v>292</v>
      </c>
      <c r="E10" s="9" t="s">
        <v>293</v>
      </c>
      <c r="F10" s="9" t="s">
        <v>45</v>
      </c>
      <c r="G10" s="9" t="s">
        <v>45</v>
      </c>
      <c r="H10" s="9" t="s">
        <v>45</v>
      </c>
      <c r="I10" s="10" t="s">
        <v>294</v>
      </c>
      <c r="J10" s="9" t="s">
        <v>295</v>
      </c>
      <c r="K10" s="16" t="s">
        <v>296</v>
      </c>
      <c r="L10" s="9" t="s">
        <v>297</v>
      </c>
      <c r="M10" s="16" t="s">
        <v>298</v>
      </c>
      <c r="N10" s="9" t="s">
        <v>299</v>
      </c>
      <c r="O10" s="9" t="s">
        <v>300</v>
      </c>
      <c r="P10" s="9" t="s">
        <v>301</v>
      </c>
      <c r="Q10" s="10" t="s">
        <v>302</v>
      </c>
      <c r="R10" s="9" t="s">
        <v>303</v>
      </c>
      <c r="S10" s="9" t="s">
        <v>304</v>
      </c>
      <c r="T10" s="9" t="s">
        <v>305</v>
      </c>
      <c r="U10" s="9" t="s">
        <v>306</v>
      </c>
    </row>
    <row r="11" customFormat="false" ht="26.85" hidden="false" customHeight="false" outlineLevel="0" collapsed="false">
      <c r="A11" s="8"/>
      <c r="B11" s="8" t="s">
        <v>307</v>
      </c>
      <c r="C11" s="10" t="s">
        <v>308</v>
      </c>
      <c r="D11" s="9" t="s">
        <v>309</v>
      </c>
      <c r="E11" s="9" t="s">
        <v>310</v>
      </c>
      <c r="F11" s="9" t="s">
        <v>45</v>
      </c>
      <c r="G11" s="9" t="s">
        <v>45</v>
      </c>
      <c r="H11" s="9" t="s">
        <v>311</v>
      </c>
      <c r="I11" s="9" t="s">
        <v>45</v>
      </c>
      <c r="J11" s="9" t="s">
        <v>45</v>
      </c>
      <c r="K11" s="9" t="s">
        <v>45</v>
      </c>
      <c r="L11" s="9" t="s">
        <v>45</v>
      </c>
      <c r="M11" s="9" t="s">
        <v>312</v>
      </c>
      <c r="N11" s="10" t="s">
        <v>313</v>
      </c>
      <c r="O11" s="9" t="s">
        <v>314</v>
      </c>
      <c r="P11" s="9" t="s">
        <v>45</v>
      </c>
      <c r="Q11" s="9" t="s">
        <v>45</v>
      </c>
      <c r="R11" s="9" t="s">
        <v>45</v>
      </c>
      <c r="S11" s="9" t="s">
        <v>45</v>
      </c>
      <c r="T11" s="9" t="s">
        <v>45</v>
      </c>
      <c r="U11" s="9" t="s">
        <v>45</v>
      </c>
    </row>
    <row r="12" customFormat="false" ht="64.9" hidden="false" customHeight="false" outlineLevel="0" collapsed="false">
      <c r="A12" s="8"/>
      <c r="B12" s="8" t="s">
        <v>315</v>
      </c>
      <c r="C12" s="9" t="s">
        <v>316</v>
      </c>
      <c r="D12" s="9" t="s">
        <v>317</v>
      </c>
      <c r="E12" s="9" t="s">
        <v>318</v>
      </c>
      <c r="F12" s="9" t="s">
        <v>45</v>
      </c>
      <c r="G12" s="9" t="s">
        <v>45</v>
      </c>
      <c r="H12" s="9" t="s">
        <v>319</v>
      </c>
      <c r="I12" s="9" t="s">
        <v>45</v>
      </c>
      <c r="J12" s="9" t="s">
        <v>320</v>
      </c>
      <c r="K12" s="9" t="s">
        <v>45</v>
      </c>
      <c r="L12" s="9" t="s">
        <v>45</v>
      </c>
      <c r="M12" s="9" t="s">
        <v>321</v>
      </c>
      <c r="N12" s="9" t="s">
        <v>322</v>
      </c>
      <c r="O12" s="9" t="s">
        <v>323</v>
      </c>
      <c r="P12" s="9" t="s">
        <v>45</v>
      </c>
      <c r="Q12" s="9" t="s">
        <v>45</v>
      </c>
      <c r="R12" s="9" t="s">
        <v>324</v>
      </c>
      <c r="S12" s="9" t="s">
        <v>325</v>
      </c>
      <c r="T12" s="9" t="s">
        <v>45</v>
      </c>
      <c r="U12" s="9" t="s">
        <v>326</v>
      </c>
    </row>
    <row r="13" customFormat="false" ht="77.6" hidden="false" customHeight="false" outlineLevel="0" collapsed="false">
      <c r="A13" s="8"/>
      <c r="B13" s="8" t="s">
        <v>327</v>
      </c>
      <c r="C13" s="9" t="s">
        <v>84</v>
      </c>
      <c r="D13" s="16" t="s">
        <v>328</v>
      </c>
      <c r="E13" s="9" t="s">
        <v>84</v>
      </c>
      <c r="F13" s="9" t="s">
        <v>45</v>
      </c>
      <c r="G13" s="9" t="s">
        <v>45</v>
      </c>
      <c r="H13" s="9" t="s">
        <v>329</v>
      </c>
      <c r="I13" s="9" t="s">
        <v>330</v>
      </c>
      <c r="J13" s="9" t="s">
        <v>331</v>
      </c>
      <c r="K13" s="9" t="s">
        <v>332</v>
      </c>
      <c r="L13" s="9" t="s">
        <v>45</v>
      </c>
      <c r="M13" s="9" t="s">
        <v>333</v>
      </c>
      <c r="N13" s="9" t="s">
        <v>334</v>
      </c>
      <c r="O13" s="9" t="s">
        <v>335</v>
      </c>
      <c r="P13" s="9" t="s">
        <v>336</v>
      </c>
      <c r="Q13" s="10" t="s">
        <v>337</v>
      </c>
      <c r="R13" s="9" t="s">
        <v>45</v>
      </c>
      <c r="S13" s="9" t="s">
        <v>338</v>
      </c>
      <c r="T13" s="9" t="s">
        <v>339</v>
      </c>
      <c r="U13" s="9" t="s">
        <v>340</v>
      </c>
    </row>
    <row r="14" customFormat="false" ht="50.7" hidden="false" customHeight="false" outlineLevel="0" collapsed="false">
      <c r="A14" s="8"/>
      <c r="B14" s="8" t="s">
        <v>341</v>
      </c>
      <c r="C14" s="9" t="s">
        <v>342</v>
      </c>
      <c r="D14" s="9" t="s">
        <v>343</v>
      </c>
      <c r="E14" s="9" t="s">
        <v>344</v>
      </c>
      <c r="F14" s="9" t="s">
        <v>45</v>
      </c>
      <c r="G14" s="9" t="s">
        <v>45</v>
      </c>
      <c r="H14" s="9" t="s">
        <v>45</v>
      </c>
      <c r="I14" s="9" t="s">
        <v>45</v>
      </c>
      <c r="J14" s="9" t="s">
        <v>345</v>
      </c>
      <c r="K14" s="9" t="s">
        <v>45</v>
      </c>
      <c r="L14" s="9" t="s">
        <v>45</v>
      </c>
      <c r="M14" s="9" t="s">
        <v>346</v>
      </c>
      <c r="N14" s="9" t="s">
        <v>347</v>
      </c>
      <c r="O14" s="9" t="s">
        <v>348</v>
      </c>
      <c r="P14" s="10" t="s">
        <v>349</v>
      </c>
      <c r="Q14" s="10" t="s">
        <v>350</v>
      </c>
      <c r="R14" s="9" t="s">
        <v>45</v>
      </c>
      <c r="S14" s="9" t="s">
        <v>351</v>
      </c>
      <c r="T14" s="9" t="s">
        <v>45</v>
      </c>
      <c r="U14" s="9" t="s">
        <v>352</v>
      </c>
    </row>
    <row r="15" customFormat="false" ht="26.85" hidden="false" customHeight="false" outlineLevel="0" collapsed="false">
      <c r="A15" s="8"/>
      <c r="B15" s="8" t="s">
        <v>353</v>
      </c>
      <c r="C15" s="9" t="s">
        <v>354</v>
      </c>
      <c r="D15" s="9" t="s">
        <v>355</v>
      </c>
      <c r="E15" s="9" t="s">
        <v>45</v>
      </c>
      <c r="F15" s="9" t="s">
        <v>45</v>
      </c>
      <c r="G15" s="9" t="s">
        <v>45</v>
      </c>
      <c r="H15" s="9" t="s">
        <v>45</v>
      </c>
      <c r="I15" s="9" t="s">
        <v>45</v>
      </c>
      <c r="J15" s="9" t="s">
        <v>45</v>
      </c>
      <c r="K15" s="9" t="s">
        <v>45</v>
      </c>
      <c r="L15" s="9" t="s">
        <v>45</v>
      </c>
      <c r="M15" s="9" t="s">
        <v>354</v>
      </c>
      <c r="N15" s="9" t="s">
        <v>354</v>
      </c>
      <c r="O15" s="9" t="s">
        <v>354</v>
      </c>
      <c r="P15" s="9" t="s">
        <v>45</v>
      </c>
      <c r="Q15" s="9" t="s">
        <v>45</v>
      </c>
      <c r="R15" s="9" t="s">
        <v>45</v>
      </c>
      <c r="S15" s="9" t="s">
        <v>356</v>
      </c>
      <c r="T15" s="9" t="s">
        <v>45</v>
      </c>
      <c r="U15" s="9" t="s">
        <v>354</v>
      </c>
    </row>
    <row r="16" customFormat="false" ht="64.9" hidden="false" customHeight="false" outlineLevel="0" collapsed="false">
      <c r="A16" s="8"/>
      <c r="B16" s="8" t="s">
        <v>357</v>
      </c>
      <c r="C16" s="9" t="s">
        <v>45</v>
      </c>
      <c r="D16" s="9" t="s">
        <v>358</v>
      </c>
      <c r="E16" s="9" t="s">
        <v>45</v>
      </c>
      <c r="F16" s="9" t="s">
        <v>45</v>
      </c>
      <c r="G16" s="9" t="s">
        <v>45</v>
      </c>
      <c r="H16" s="9" t="s">
        <v>45</v>
      </c>
      <c r="I16" s="9" t="s">
        <v>45</v>
      </c>
      <c r="J16" s="9" t="s">
        <v>359</v>
      </c>
      <c r="K16" s="9" t="s">
        <v>45</v>
      </c>
      <c r="L16" s="11" t="s">
        <v>360</v>
      </c>
      <c r="M16" s="9" t="s">
        <v>361</v>
      </c>
      <c r="N16" s="9" t="s">
        <v>362</v>
      </c>
      <c r="O16" s="9" t="s">
        <v>363</v>
      </c>
      <c r="P16" s="9" t="s">
        <v>45</v>
      </c>
      <c r="Q16" s="9" t="s">
        <v>45</v>
      </c>
      <c r="R16" s="9" t="s">
        <v>45</v>
      </c>
      <c r="S16" s="9" t="s">
        <v>364</v>
      </c>
      <c r="T16" s="9" t="s">
        <v>45</v>
      </c>
      <c r="U16" s="9" t="s">
        <v>365</v>
      </c>
    </row>
    <row r="17" customFormat="false" ht="39.55" hidden="false" customHeight="false" outlineLevel="0" collapsed="false">
      <c r="A17" s="8"/>
      <c r="B17" s="8" t="s">
        <v>366</v>
      </c>
      <c r="C17" s="9" t="s">
        <v>367</v>
      </c>
      <c r="D17" s="10" t="s">
        <v>368</v>
      </c>
      <c r="E17" s="9" t="s">
        <v>369</v>
      </c>
      <c r="F17" s="9" t="s">
        <v>370</v>
      </c>
      <c r="G17" s="9" t="s">
        <v>45</v>
      </c>
      <c r="H17" s="9" t="s">
        <v>45</v>
      </c>
      <c r="I17" s="9" t="s">
        <v>45</v>
      </c>
      <c r="J17" s="9" t="s">
        <v>45</v>
      </c>
      <c r="K17" s="9" t="s">
        <v>45</v>
      </c>
      <c r="L17" s="9" t="s">
        <v>45</v>
      </c>
      <c r="M17" s="9" t="s">
        <v>371</v>
      </c>
      <c r="N17" s="9" t="s">
        <v>45</v>
      </c>
      <c r="O17" s="9" t="s">
        <v>372</v>
      </c>
      <c r="P17" s="9" t="s">
        <v>45</v>
      </c>
      <c r="Q17" s="9" t="s">
        <v>45</v>
      </c>
      <c r="R17" s="9" t="s">
        <v>45</v>
      </c>
      <c r="S17" s="9" t="s">
        <v>45</v>
      </c>
      <c r="T17" s="9" t="s">
        <v>45</v>
      </c>
      <c r="U17" s="9" t="s">
        <v>373</v>
      </c>
    </row>
    <row r="18" customFormat="false" ht="26.85" hidden="false" customHeight="false" outlineLevel="0" collapsed="false">
      <c r="A18" s="8"/>
      <c r="B18" s="8" t="s">
        <v>374</v>
      </c>
      <c r="C18" s="9" t="s">
        <v>78</v>
      </c>
      <c r="D18" s="9" t="s">
        <v>375</v>
      </c>
      <c r="E18" s="9" t="s">
        <v>376</v>
      </c>
      <c r="F18" s="9" t="s">
        <v>45</v>
      </c>
      <c r="G18" s="9" t="s">
        <v>45</v>
      </c>
      <c r="H18" s="9" t="s">
        <v>377</v>
      </c>
      <c r="I18" s="9" t="s">
        <v>378</v>
      </c>
      <c r="J18" s="9" t="s">
        <v>379</v>
      </c>
      <c r="K18" s="9" t="s">
        <v>380</v>
      </c>
      <c r="L18" s="9" t="s">
        <v>381</v>
      </c>
      <c r="M18" s="9" t="s">
        <v>382</v>
      </c>
      <c r="N18" s="9" t="s">
        <v>383</v>
      </c>
      <c r="O18" s="9" t="s">
        <v>384</v>
      </c>
      <c r="P18" s="9" t="s">
        <v>45</v>
      </c>
      <c r="Q18" s="9" t="s">
        <v>45</v>
      </c>
      <c r="R18" s="9" t="s">
        <v>45</v>
      </c>
      <c r="S18" s="9" t="s">
        <v>385</v>
      </c>
      <c r="T18" s="9" t="s">
        <v>386</v>
      </c>
      <c r="U18" s="9" t="s">
        <v>387</v>
      </c>
    </row>
    <row r="19" customFormat="false" ht="64.9" hidden="false" customHeight="false" outlineLevel="0" collapsed="false">
      <c r="A19" s="8"/>
      <c r="B19" s="8" t="s">
        <v>388</v>
      </c>
      <c r="C19" s="9" t="s">
        <v>45</v>
      </c>
      <c r="D19" s="9" t="s">
        <v>389</v>
      </c>
      <c r="E19" s="9" t="s">
        <v>45</v>
      </c>
      <c r="F19" s="9" t="s">
        <v>45</v>
      </c>
      <c r="G19" s="9" t="s">
        <v>45</v>
      </c>
      <c r="H19" s="9" t="s">
        <v>390</v>
      </c>
      <c r="I19" s="9" t="s">
        <v>391</v>
      </c>
      <c r="J19" s="9" t="s">
        <v>391</v>
      </c>
      <c r="K19" s="9" t="s">
        <v>392</v>
      </c>
      <c r="L19" s="9" t="s">
        <v>45</v>
      </c>
      <c r="M19" s="9" t="s">
        <v>393</v>
      </c>
      <c r="N19" s="9" t="s">
        <v>394</v>
      </c>
      <c r="O19" s="9" t="s">
        <v>395</v>
      </c>
      <c r="P19" s="9" t="s">
        <v>45</v>
      </c>
      <c r="Q19" s="9" t="s">
        <v>45</v>
      </c>
      <c r="R19" s="9" t="s">
        <v>45</v>
      </c>
      <c r="S19" s="9" t="s">
        <v>396</v>
      </c>
      <c r="T19" s="9" t="s">
        <v>45</v>
      </c>
      <c r="U19" s="9" t="s">
        <v>397</v>
      </c>
    </row>
    <row r="20" customFormat="false" ht="26.85" hidden="false" customHeight="false" outlineLevel="0" collapsed="false">
      <c r="A20" s="4" t="s">
        <v>398</v>
      </c>
      <c r="B20" s="4" t="s">
        <v>23</v>
      </c>
      <c r="C20" s="5" t="s">
        <v>399</v>
      </c>
      <c r="D20" s="6" t="s">
        <v>400</v>
      </c>
      <c r="E20" s="5" t="s">
        <v>100</v>
      </c>
      <c r="F20" s="5" t="s">
        <v>100</v>
      </c>
      <c r="G20" s="5" t="s">
        <v>401</v>
      </c>
      <c r="H20" s="5" t="s">
        <v>401</v>
      </c>
      <c r="I20" s="5" t="s">
        <v>401</v>
      </c>
      <c r="J20" s="5" t="s">
        <v>402</v>
      </c>
      <c r="K20" s="5" t="s">
        <v>401</v>
      </c>
      <c r="L20" s="5" t="s">
        <v>401</v>
      </c>
      <c r="M20" s="5" t="s">
        <v>401</v>
      </c>
      <c r="N20" s="5" t="s">
        <v>403</v>
      </c>
      <c r="O20" s="5" t="s">
        <v>404</v>
      </c>
      <c r="P20" s="5" t="s">
        <v>401</v>
      </c>
      <c r="Q20" s="5" t="s">
        <v>401</v>
      </c>
      <c r="R20" s="5" t="s">
        <v>401</v>
      </c>
      <c r="S20" s="5" t="s">
        <v>401</v>
      </c>
      <c r="T20" s="6" t="s">
        <v>405</v>
      </c>
      <c r="U20" s="5" t="s">
        <v>406</v>
      </c>
    </row>
    <row r="21" customFormat="false" ht="39.55" hidden="false" customHeight="false" outlineLevel="0" collapsed="false">
      <c r="A21" s="8"/>
      <c r="B21" s="8" t="s">
        <v>407</v>
      </c>
      <c r="C21" s="9" t="s">
        <v>408</v>
      </c>
      <c r="D21" s="9" t="s">
        <v>409</v>
      </c>
      <c r="E21" s="10" t="s">
        <v>410</v>
      </c>
      <c r="F21" s="10" t="s">
        <v>410</v>
      </c>
      <c r="G21" s="10" t="s">
        <v>410</v>
      </c>
      <c r="H21" s="10" t="s">
        <v>410</v>
      </c>
      <c r="I21" s="10" t="s">
        <v>410</v>
      </c>
      <c r="J21" s="9" t="s">
        <v>411</v>
      </c>
      <c r="K21" s="10" t="s">
        <v>410</v>
      </c>
      <c r="L21" s="10" t="s">
        <v>410</v>
      </c>
      <c r="M21" s="10" t="s">
        <v>410</v>
      </c>
      <c r="N21" s="9" t="s">
        <v>412</v>
      </c>
      <c r="O21" s="9" t="s">
        <v>413</v>
      </c>
      <c r="P21" s="10" t="s">
        <v>410</v>
      </c>
      <c r="Q21" s="10" t="s">
        <v>410</v>
      </c>
      <c r="R21" s="10" t="s">
        <v>410</v>
      </c>
      <c r="S21" s="10" t="s">
        <v>410</v>
      </c>
      <c r="T21" s="9" t="s">
        <v>45</v>
      </c>
      <c r="U21" s="9" t="s">
        <v>414</v>
      </c>
    </row>
    <row r="22" customFormat="false" ht="15" hidden="false" customHeight="false" outlineLevel="0" collapsed="false">
      <c r="A22" s="8"/>
      <c r="B22" s="8" t="s">
        <v>96</v>
      </c>
      <c r="C22" s="10" t="s">
        <v>415</v>
      </c>
      <c r="D22" s="10" t="s">
        <v>416</v>
      </c>
      <c r="E22" s="10" t="s">
        <v>410</v>
      </c>
      <c r="F22" s="10" t="s">
        <v>410</v>
      </c>
      <c r="G22" s="10" t="s">
        <v>410</v>
      </c>
      <c r="H22" s="10" t="s">
        <v>410</v>
      </c>
      <c r="I22" s="10" t="s">
        <v>410</v>
      </c>
      <c r="J22" s="9" t="s">
        <v>101</v>
      </c>
      <c r="K22" s="10" t="s">
        <v>410</v>
      </c>
      <c r="L22" s="10" t="s">
        <v>410</v>
      </c>
      <c r="M22" s="10" t="s">
        <v>410</v>
      </c>
      <c r="N22" s="9" t="s">
        <v>417</v>
      </c>
      <c r="O22" s="9" t="s">
        <v>418</v>
      </c>
      <c r="P22" s="10" t="s">
        <v>410</v>
      </c>
      <c r="Q22" s="10" t="s">
        <v>410</v>
      </c>
      <c r="R22" s="10" t="s">
        <v>410</v>
      </c>
      <c r="S22" s="10" t="s">
        <v>410</v>
      </c>
      <c r="T22" s="9" t="s">
        <v>45</v>
      </c>
      <c r="U22" s="9" t="s">
        <v>45</v>
      </c>
    </row>
    <row r="23" customFormat="false" ht="39.55" hidden="false" customHeight="false" outlineLevel="0" collapsed="false">
      <c r="A23" s="8"/>
      <c r="B23" s="8" t="s">
        <v>419</v>
      </c>
      <c r="C23" s="9" t="s">
        <v>354</v>
      </c>
      <c r="D23" s="9" t="s">
        <v>354</v>
      </c>
      <c r="E23" s="10" t="s">
        <v>410</v>
      </c>
      <c r="F23" s="10" t="s">
        <v>410</v>
      </c>
      <c r="G23" s="10" t="s">
        <v>410</v>
      </c>
      <c r="H23" s="10" t="s">
        <v>410</v>
      </c>
      <c r="I23" s="10" t="s">
        <v>410</v>
      </c>
      <c r="J23" s="9" t="s">
        <v>45</v>
      </c>
      <c r="K23" s="10" t="s">
        <v>410</v>
      </c>
      <c r="L23" s="10" t="s">
        <v>410</v>
      </c>
      <c r="M23" s="10" t="s">
        <v>410</v>
      </c>
      <c r="N23" s="9" t="s">
        <v>420</v>
      </c>
      <c r="O23" s="9" t="s">
        <v>78</v>
      </c>
      <c r="P23" s="10" t="s">
        <v>410</v>
      </c>
      <c r="Q23" s="10" t="s">
        <v>410</v>
      </c>
      <c r="R23" s="10" t="s">
        <v>410</v>
      </c>
      <c r="S23" s="10" t="s">
        <v>410</v>
      </c>
      <c r="T23" s="9" t="s">
        <v>45</v>
      </c>
      <c r="U23" s="9" t="s">
        <v>421</v>
      </c>
    </row>
    <row r="24" customFormat="false" ht="52.2" hidden="false" customHeight="false" outlineLevel="0" collapsed="false">
      <c r="A24" s="8"/>
      <c r="B24" s="8" t="s">
        <v>103</v>
      </c>
      <c r="C24" s="9" t="s">
        <v>422</v>
      </c>
      <c r="D24" s="9" t="s">
        <v>423</v>
      </c>
      <c r="E24" s="10" t="s">
        <v>410</v>
      </c>
      <c r="F24" s="10" t="s">
        <v>410</v>
      </c>
      <c r="G24" s="10" t="s">
        <v>410</v>
      </c>
      <c r="H24" s="10" t="s">
        <v>410</v>
      </c>
      <c r="I24" s="10" t="s">
        <v>410</v>
      </c>
      <c r="J24" s="9" t="s">
        <v>424</v>
      </c>
      <c r="K24" s="10" t="s">
        <v>410</v>
      </c>
      <c r="L24" s="10" t="s">
        <v>410</v>
      </c>
      <c r="M24" s="10" t="s">
        <v>410</v>
      </c>
      <c r="N24" s="9" t="s">
        <v>425</v>
      </c>
      <c r="O24" s="9" t="s">
        <v>426</v>
      </c>
      <c r="P24" s="10" t="s">
        <v>410</v>
      </c>
      <c r="Q24" s="10" t="s">
        <v>410</v>
      </c>
      <c r="R24" s="10" t="s">
        <v>410</v>
      </c>
      <c r="S24" s="10" t="s">
        <v>410</v>
      </c>
      <c r="T24" s="9" t="s">
        <v>427</v>
      </c>
      <c r="U24" s="9" t="s">
        <v>428</v>
      </c>
    </row>
    <row r="25" customFormat="false" ht="52.2" hidden="false" customHeight="false" outlineLevel="0" collapsed="false">
      <c r="A25" s="8"/>
      <c r="B25" s="8" t="s">
        <v>290</v>
      </c>
      <c r="C25" s="9" t="s">
        <v>45</v>
      </c>
      <c r="D25" s="16" t="s">
        <v>429</v>
      </c>
      <c r="E25" s="10" t="s">
        <v>410</v>
      </c>
      <c r="F25" s="10" t="s">
        <v>410</v>
      </c>
      <c r="G25" s="10" t="s">
        <v>410</v>
      </c>
      <c r="H25" s="10" t="s">
        <v>410</v>
      </c>
      <c r="I25" s="10" t="s">
        <v>410</v>
      </c>
      <c r="J25" s="9" t="s">
        <v>430</v>
      </c>
      <c r="K25" s="7" t="s">
        <v>410</v>
      </c>
      <c r="L25" s="10" t="s">
        <v>410</v>
      </c>
      <c r="M25" s="7" t="s">
        <v>410</v>
      </c>
      <c r="N25" s="9" t="s">
        <v>431</v>
      </c>
      <c r="O25" s="9" t="s">
        <v>432</v>
      </c>
      <c r="P25" s="10" t="s">
        <v>410</v>
      </c>
      <c r="Q25" s="10" t="s">
        <v>410</v>
      </c>
      <c r="R25" s="10" t="s">
        <v>410</v>
      </c>
      <c r="S25" s="10" t="s">
        <v>410</v>
      </c>
      <c r="T25" s="9" t="s">
        <v>433</v>
      </c>
      <c r="U25" s="9" t="s">
        <v>434</v>
      </c>
    </row>
    <row r="26" customFormat="false" ht="39.55" hidden="false" customHeight="false" outlineLevel="0" collapsed="false">
      <c r="A26" s="8"/>
      <c r="B26" s="8" t="s">
        <v>435</v>
      </c>
      <c r="C26" s="9" t="s">
        <v>436</v>
      </c>
      <c r="D26" s="9" t="s">
        <v>437</v>
      </c>
      <c r="E26" s="10" t="s">
        <v>410</v>
      </c>
      <c r="F26" s="10" t="s">
        <v>410</v>
      </c>
      <c r="G26" s="10" t="s">
        <v>410</v>
      </c>
      <c r="H26" s="10" t="s">
        <v>410</v>
      </c>
      <c r="I26" s="10" t="s">
        <v>410</v>
      </c>
      <c r="J26" s="9" t="s">
        <v>438</v>
      </c>
      <c r="K26" s="10" t="s">
        <v>410</v>
      </c>
      <c r="L26" s="10" t="s">
        <v>410</v>
      </c>
      <c r="M26" s="10" t="s">
        <v>410</v>
      </c>
      <c r="N26" s="9" t="s">
        <v>78</v>
      </c>
      <c r="O26" s="9" t="s">
        <v>439</v>
      </c>
      <c r="P26" s="10" t="s">
        <v>410</v>
      </c>
      <c r="Q26" s="10" t="s">
        <v>410</v>
      </c>
      <c r="R26" s="10" t="s">
        <v>410</v>
      </c>
      <c r="S26" s="10" t="s">
        <v>410</v>
      </c>
      <c r="T26" s="9" t="s">
        <v>45</v>
      </c>
      <c r="U26" s="9" t="s">
        <v>45</v>
      </c>
    </row>
    <row r="27" customFormat="false" ht="52.2" hidden="false" customHeight="false" outlineLevel="0" collapsed="false">
      <c r="A27" s="8"/>
      <c r="B27" s="8" t="s">
        <v>440</v>
      </c>
      <c r="C27" s="9" t="s">
        <v>441</v>
      </c>
      <c r="D27" s="9" t="s">
        <v>78</v>
      </c>
      <c r="E27" s="10" t="s">
        <v>410</v>
      </c>
      <c r="F27" s="10" t="s">
        <v>410</v>
      </c>
      <c r="G27" s="10" t="s">
        <v>410</v>
      </c>
      <c r="H27" s="10" t="s">
        <v>410</v>
      </c>
      <c r="I27" s="10" t="s">
        <v>410</v>
      </c>
      <c r="J27" s="10" t="s">
        <v>442</v>
      </c>
      <c r="K27" s="10" t="s">
        <v>410</v>
      </c>
      <c r="L27" s="10" t="s">
        <v>410</v>
      </c>
      <c r="M27" s="10" t="s">
        <v>410</v>
      </c>
      <c r="N27" s="10" t="s">
        <v>443</v>
      </c>
      <c r="O27" s="9" t="s">
        <v>444</v>
      </c>
      <c r="P27" s="10" t="s">
        <v>410</v>
      </c>
      <c r="Q27" s="10" t="s">
        <v>410</v>
      </c>
      <c r="R27" s="10" t="s">
        <v>410</v>
      </c>
      <c r="S27" s="10" t="s">
        <v>410</v>
      </c>
      <c r="T27" s="9" t="s">
        <v>445</v>
      </c>
      <c r="U27" s="9" t="s">
        <v>446</v>
      </c>
    </row>
    <row r="28" customFormat="false" ht="77.6" hidden="false" customHeight="false" outlineLevel="0" collapsed="false">
      <c r="A28" s="8"/>
      <c r="B28" s="8" t="s">
        <v>447</v>
      </c>
      <c r="C28" s="9" t="s">
        <v>448</v>
      </c>
      <c r="D28" s="9" t="s">
        <v>78</v>
      </c>
      <c r="E28" s="10" t="s">
        <v>410</v>
      </c>
      <c r="F28" s="10" t="s">
        <v>410</v>
      </c>
      <c r="G28" s="10" t="s">
        <v>410</v>
      </c>
      <c r="H28" s="10" t="s">
        <v>410</v>
      </c>
      <c r="I28" s="10" t="s">
        <v>410</v>
      </c>
      <c r="J28" s="9" t="s">
        <v>449</v>
      </c>
      <c r="K28" s="10" t="s">
        <v>410</v>
      </c>
      <c r="L28" s="10" t="s">
        <v>410</v>
      </c>
      <c r="M28" s="10" t="s">
        <v>410</v>
      </c>
      <c r="N28" s="9" t="s">
        <v>450</v>
      </c>
      <c r="O28" s="9" t="s">
        <v>451</v>
      </c>
      <c r="P28" s="10" t="s">
        <v>410</v>
      </c>
      <c r="Q28" s="10" t="s">
        <v>410</v>
      </c>
      <c r="R28" s="10" t="s">
        <v>410</v>
      </c>
      <c r="S28" s="10" t="s">
        <v>410</v>
      </c>
      <c r="T28" s="9" t="s">
        <v>45</v>
      </c>
      <c r="U28" s="9" t="s">
        <v>452</v>
      </c>
    </row>
    <row r="29" customFormat="false" ht="26.85" hidden="false" customHeight="false" outlineLevel="0" collapsed="false">
      <c r="A29" s="8"/>
      <c r="B29" s="8" t="s">
        <v>453</v>
      </c>
      <c r="C29" s="9" t="s">
        <v>45</v>
      </c>
      <c r="D29" s="9" t="s">
        <v>454</v>
      </c>
      <c r="E29" s="10" t="s">
        <v>410</v>
      </c>
      <c r="F29" s="10" t="s">
        <v>410</v>
      </c>
      <c r="G29" s="10" t="s">
        <v>410</v>
      </c>
      <c r="H29" s="10" t="s">
        <v>410</v>
      </c>
      <c r="I29" s="10" t="s">
        <v>410</v>
      </c>
      <c r="J29" s="9" t="s">
        <v>45</v>
      </c>
      <c r="K29" s="10" t="s">
        <v>410</v>
      </c>
      <c r="L29" s="10" t="s">
        <v>410</v>
      </c>
      <c r="M29" s="10" t="s">
        <v>410</v>
      </c>
      <c r="N29" s="9" t="s">
        <v>45</v>
      </c>
      <c r="O29" s="9" t="s">
        <v>45</v>
      </c>
      <c r="P29" s="10" t="s">
        <v>410</v>
      </c>
      <c r="Q29" s="10" t="s">
        <v>410</v>
      </c>
      <c r="R29" s="10" t="s">
        <v>410</v>
      </c>
      <c r="S29" s="10" t="s">
        <v>410</v>
      </c>
      <c r="T29" s="9" t="s">
        <v>45</v>
      </c>
      <c r="U29" s="9" t="s">
        <v>45</v>
      </c>
    </row>
    <row r="30" customFormat="false" ht="26.85" hidden="false" customHeight="false" outlineLevel="0" collapsed="false">
      <c r="A30" s="8"/>
      <c r="B30" s="8" t="s">
        <v>455</v>
      </c>
      <c r="C30" s="10" t="s">
        <v>456</v>
      </c>
      <c r="D30" s="10" t="s">
        <v>457</v>
      </c>
      <c r="E30" s="10" t="s">
        <v>410</v>
      </c>
      <c r="F30" s="10" t="s">
        <v>410</v>
      </c>
      <c r="G30" s="10" t="s">
        <v>410</v>
      </c>
      <c r="H30" s="10" t="s">
        <v>410</v>
      </c>
      <c r="I30" s="10" t="s">
        <v>410</v>
      </c>
      <c r="J30" s="9" t="s">
        <v>458</v>
      </c>
      <c r="K30" s="10" t="s">
        <v>410</v>
      </c>
      <c r="L30" s="10" t="s">
        <v>410</v>
      </c>
      <c r="M30" s="10" t="s">
        <v>410</v>
      </c>
      <c r="N30" s="9" t="s">
        <v>459</v>
      </c>
      <c r="O30" s="9" t="s">
        <v>78</v>
      </c>
      <c r="P30" s="10" t="s">
        <v>410</v>
      </c>
      <c r="Q30" s="10" t="s">
        <v>410</v>
      </c>
      <c r="R30" s="10" t="s">
        <v>410</v>
      </c>
      <c r="S30" s="10" t="s">
        <v>410</v>
      </c>
      <c r="T30" s="9" t="s">
        <v>45</v>
      </c>
      <c r="U30" s="9" t="s">
        <v>460</v>
      </c>
    </row>
    <row r="31" customFormat="false" ht="52.2" hidden="false" customHeight="false" outlineLevel="0" collapsed="false">
      <c r="A31" s="8"/>
      <c r="B31" s="8" t="s">
        <v>461</v>
      </c>
      <c r="C31" s="9" t="s">
        <v>462</v>
      </c>
      <c r="D31" s="9" t="s">
        <v>78</v>
      </c>
      <c r="E31" s="10" t="s">
        <v>410</v>
      </c>
      <c r="F31" s="10" t="s">
        <v>410</v>
      </c>
      <c r="G31" s="10" t="s">
        <v>410</v>
      </c>
      <c r="H31" s="10" t="s">
        <v>410</v>
      </c>
      <c r="I31" s="10" t="s">
        <v>410</v>
      </c>
      <c r="J31" s="9" t="s">
        <v>78</v>
      </c>
      <c r="K31" s="10" t="s">
        <v>410</v>
      </c>
      <c r="L31" s="10" t="s">
        <v>410</v>
      </c>
      <c r="M31" s="10" t="s">
        <v>410</v>
      </c>
      <c r="N31" s="9" t="s">
        <v>78</v>
      </c>
      <c r="O31" s="9" t="s">
        <v>78</v>
      </c>
      <c r="P31" s="10" t="s">
        <v>410</v>
      </c>
      <c r="Q31" s="10" t="s">
        <v>410</v>
      </c>
      <c r="R31" s="10" t="s">
        <v>410</v>
      </c>
      <c r="S31" s="10" t="s">
        <v>410</v>
      </c>
      <c r="T31" s="9" t="s">
        <v>78</v>
      </c>
      <c r="U31" s="9" t="s">
        <v>78</v>
      </c>
    </row>
    <row r="32" customFormat="false" ht="39.55" hidden="false" customHeight="false" outlineLevel="0" collapsed="false">
      <c r="A32" s="8"/>
      <c r="B32" s="8" t="s">
        <v>463</v>
      </c>
      <c r="C32" s="9" t="s">
        <v>100</v>
      </c>
      <c r="D32" s="10" t="s">
        <v>464</v>
      </c>
      <c r="E32" s="10" t="s">
        <v>410</v>
      </c>
      <c r="F32" s="10" t="s">
        <v>410</v>
      </c>
      <c r="G32" s="10" t="s">
        <v>410</v>
      </c>
      <c r="H32" s="10" t="s">
        <v>410</v>
      </c>
      <c r="I32" s="10" t="s">
        <v>410</v>
      </c>
      <c r="J32" s="10" t="s">
        <v>465</v>
      </c>
      <c r="K32" s="10" t="s">
        <v>410</v>
      </c>
      <c r="L32" s="10" t="s">
        <v>410</v>
      </c>
      <c r="M32" s="10" t="s">
        <v>410</v>
      </c>
      <c r="N32" s="9" t="s">
        <v>466</v>
      </c>
      <c r="O32" s="9" t="s">
        <v>84</v>
      </c>
      <c r="P32" s="10" t="s">
        <v>410</v>
      </c>
      <c r="Q32" s="10" t="s">
        <v>410</v>
      </c>
      <c r="R32" s="10" t="s">
        <v>410</v>
      </c>
      <c r="S32" s="10" t="s">
        <v>410</v>
      </c>
      <c r="T32" s="9" t="s">
        <v>45</v>
      </c>
      <c r="U32" s="10" t="s">
        <v>467</v>
      </c>
    </row>
    <row r="34" customFormat="false" ht="15" hidden="false" customHeight="false" outlineLevel="0" collapsed="false">
      <c r="A34" s="13" t="s">
        <v>193</v>
      </c>
    </row>
    <row r="35" customFormat="false" ht="15" hidden="false" customHeight="false" outlineLevel="0" collapsed="false">
      <c r="A35" s="14" t="s">
        <v>468</v>
      </c>
    </row>
    <row r="36" customFormat="false" ht="15" hidden="false" customHeight="false" outlineLevel="0" collapsed="false">
      <c r="A36" s="14" t="s">
        <v>469</v>
      </c>
    </row>
    <row r="37" customFormat="false" ht="15" hidden="false" customHeight="false" outlineLevel="0" collapsed="false">
      <c r="A37" s="14" t="s">
        <v>470</v>
      </c>
    </row>
    <row r="38" customFormat="false" ht="15" hidden="false" customHeight="false" outlineLevel="0" collapsed="false">
      <c r="A38" s="14" t="s">
        <v>471</v>
      </c>
    </row>
    <row r="39" customFormat="false" ht="15" hidden="false" customHeight="false" outlineLevel="0" collapsed="false">
      <c r="A39" s="14" t="s">
        <v>472</v>
      </c>
    </row>
    <row r="40" customFormat="false" ht="15" hidden="false" customHeight="false" outlineLevel="0" collapsed="false">
      <c r="A40" s="14" t="s">
        <v>473</v>
      </c>
    </row>
    <row r="41" customFormat="false" ht="15" hidden="false" customHeight="false" outlineLevel="0" collapsed="false">
      <c r="A41" s="14" t="s">
        <v>474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475</v>
      </c>
    </row>
    <row r="2" customFormat="false" ht="15" hidden="false" customHeight="false" outlineLevel="0" collapsed="false">
      <c r="A2" s="2" t="s">
        <v>476</v>
      </c>
    </row>
    <row r="4" customFormat="false" ht="15" hidden="false" customHeight="false" outlineLevel="0" collapsed="false">
      <c r="A4" s="13" t="s">
        <v>477</v>
      </c>
    </row>
    <row r="5" customFormat="false" ht="15" hidden="false" customHeight="false" outlineLevel="0" collapsed="false">
      <c r="A5" s="17" t="s">
        <v>478</v>
      </c>
      <c r="B5" s="18" t="n">
        <v>0.6</v>
      </c>
      <c r="C5" s="2" t="s">
        <v>479</v>
      </c>
      <c r="D5" s="2" t="s">
        <v>480</v>
      </c>
    </row>
    <row r="6" customFormat="false" ht="15" hidden="false" customHeight="false" outlineLevel="0" collapsed="false">
      <c r="A6" s="17" t="s">
        <v>481</v>
      </c>
      <c r="B6" s="18" t="n">
        <v>7</v>
      </c>
      <c r="C6" s="2" t="s">
        <v>479</v>
      </c>
      <c r="D6" s="2" t="s">
        <v>482</v>
      </c>
    </row>
    <row r="7" customFormat="false" ht="15" hidden="false" customHeight="false" outlineLevel="0" collapsed="false">
      <c r="A7" s="17" t="s">
        <v>483</v>
      </c>
      <c r="B7" s="18" t="n">
        <v>0</v>
      </c>
      <c r="C7" s="2" t="s">
        <v>479</v>
      </c>
      <c r="D7" s="2" t="s">
        <v>484</v>
      </c>
    </row>
    <row r="8" customFormat="false" ht="15" hidden="false" customHeight="false" outlineLevel="0" collapsed="false">
      <c r="A8" s="17" t="s">
        <v>485</v>
      </c>
      <c r="B8" s="18" t="n">
        <v>0</v>
      </c>
      <c r="C8" s="2" t="s">
        <v>479</v>
      </c>
      <c r="D8" s="2" t="s">
        <v>486</v>
      </c>
    </row>
    <row r="9" customFormat="false" ht="15" hidden="false" customHeight="false" outlineLevel="0" collapsed="false">
      <c r="A9" s="17" t="s">
        <v>487</v>
      </c>
      <c r="B9" s="18" t="n">
        <v>0</v>
      </c>
      <c r="C9" s="2" t="s">
        <v>479</v>
      </c>
      <c r="D9" s="2" t="s">
        <v>488</v>
      </c>
    </row>
    <row r="10" customFormat="false" ht="15" hidden="false" customHeight="false" outlineLevel="0" collapsed="false">
      <c r="A10" s="17" t="s">
        <v>489</v>
      </c>
      <c r="B10" s="18" t="n">
        <v>0</v>
      </c>
      <c r="C10" s="2" t="s">
        <v>479</v>
      </c>
      <c r="D10" s="2" t="s">
        <v>490</v>
      </c>
    </row>
    <row r="11" customFormat="false" ht="15" hidden="false" customHeight="false" outlineLevel="0" collapsed="false">
      <c r="A11" s="17" t="s">
        <v>491</v>
      </c>
      <c r="B11" s="18" t="n">
        <v>1</v>
      </c>
      <c r="C11" s="2" t="s">
        <v>479</v>
      </c>
      <c r="D11" s="2" t="s">
        <v>492</v>
      </c>
    </row>
    <row r="13" customFormat="false" ht="31.5" hidden="false" customHeight="true" outlineLevel="0" collapsed="false">
      <c r="A13" s="3" t="s">
        <v>493</v>
      </c>
      <c r="B13" s="3" t="s">
        <v>494</v>
      </c>
      <c r="C13" s="3" t="s">
        <v>495</v>
      </c>
      <c r="D13" s="3" t="s">
        <v>398</v>
      </c>
      <c r="E13" s="3" t="s">
        <v>496</v>
      </c>
      <c r="F13" s="3" t="s">
        <v>497</v>
      </c>
      <c r="G13" s="3" t="s">
        <v>498</v>
      </c>
      <c r="H13" s="3" t="s">
        <v>499</v>
      </c>
      <c r="I13" s="3" t="s">
        <v>500</v>
      </c>
    </row>
    <row r="14" customFormat="false" ht="15" hidden="false" customHeight="false" outlineLevel="0" collapsed="false">
      <c r="A14" s="19" t="s">
        <v>4</v>
      </c>
      <c r="B14" s="20" t="s">
        <v>501</v>
      </c>
      <c r="C14" s="21" t="n">
        <v>20</v>
      </c>
      <c r="D14" s="21" t="n">
        <v>21</v>
      </c>
      <c r="E14" s="21" t="n">
        <v>22</v>
      </c>
      <c r="F14" s="22" t="n">
        <f aca="false">C14*$B$5</f>
        <v>12</v>
      </c>
      <c r="G14" s="22" t="n">
        <f aca="false">D14*$B$5</f>
        <v>12.6</v>
      </c>
      <c r="H14" s="22" t="n">
        <f aca="false">E14*$B$5</f>
        <v>13.2</v>
      </c>
      <c r="I14" s="23" t="n">
        <f aca="false">IF(C14=0,"",E14/C14-1)</f>
        <v>0.1</v>
      </c>
    </row>
    <row r="15" customFormat="false" ht="15" hidden="false" customHeight="false" outlineLevel="0" collapsed="false">
      <c r="A15" s="19" t="s">
        <v>4</v>
      </c>
      <c r="B15" s="20" t="s">
        <v>502</v>
      </c>
      <c r="C15" s="21" t="n">
        <v>12</v>
      </c>
      <c r="D15" s="21" t="n">
        <v>13</v>
      </c>
      <c r="E15" s="21" t="n">
        <v>14</v>
      </c>
      <c r="F15" s="22" t="n">
        <f aca="false">C15*$B$5</f>
        <v>7.2</v>
      </c>
      <c r="G15" s="22" t="n">
        <f aca="false">D15*$B$5</f>
        <v>7.8</v>
      </c>
      <c r="H15" s="22" t="n">
        <f aca="false">E15*$B$5</f>
        <v>8.4</v>
      </c>
      <c r="I15" s="23" t="n">
        <f aca="false">IF(C15=0,"",E15/C15-1)</f>
        <v>0.166666666666667</v>
      </c>
    </row>
    <row r="16" customFormat="false" ht="15" hidden="false" customHeight="false" outlineLevel="0" collapsed="false">
      <c r="A16" s="19" t="s">
        <v>4</v>
      </c>
      <c r="B16" s="20" t="s">
        <v>503</v>
      </c>
      <c r="C16" s="21" t="n">
        <v>10</v>
      </c>
      <c r="D16" s="21" t="n">
        <v>11</v>
      </c>
      <c r="E16" s="21" t="n">
        <v>12</v>
      </c>
      <c r="F16" s="22" t="n">
        <f aca="false">C16*$B$5</f>
        <v>6</v>
      </c>
      <c r="G16" s="22" t="n">
        <f aca="false">D16*$B$5</f>
        <v>6.6</v>
      </c>
      <c r="H16" s="22" t="n">
        <f aca="false">E16*$B$5</f>
        <v>7.2</v>
      </c>
      <c r="I16" s="23" t="n">
        <f aca="false">IF(C16=0,"",E16/C16-1)</f>
        <v>0.2</v>
      </c>
    </row>
    <row r="17" customFormat="false" ht="15" hidden="false" customHeight="false" outlineLevel="0" collapsed="false">
      <c r="A17" s="19" t="s">
        <v>4</v>
      </c>
      <c r="B17" s="20" t="s">
        <v>504</v>
      </c>
      <c r="C17" s="21" t="n">
        <v>10</v>
      </c>
      <c r="D17" s="21" t="n">
        <v>11</v>
      </c>
      <c r="E17" s="21" t="n">
        <v>12</v>
      </c>
      <c r="F17" s="22" t="n">
        <f aca="false">C17*$B$5</f>
        <v>6</v>
      </c>
      <c r="G17" s="22" t="n">
        <f aca="false">D17*$B$5</f>
        <v>6.6</v>
      </c>
      <c r="H17" s="22" t="n">
        <f aca="false">E17*$B$5</f>
        <v>7.2</v>
      </c>
      <c r="I17" s="23" t="n">
        <f aca="false">IF(C17=0,"",E17/C17-1)</f>
        <v>0.2</v>
      </c>
    </row>
    <row r="18" customFormat="false" ht="15" hidden="false" customHeight="false" outlineLevel="0" collapsed="false">
      <c r="A18" s="19" t="s">
        <v>4</v>
      </c>
      <c r="B18" s="20" t="s">
        <v>505</v>
      </c>
      <c r="C18" s="21" t="n">
        <v>8</v>
      </c>
      <c r="D18" s="21" t="n">
        <v>9</v>
      </c>
      <c r="E18" s="21" t="n">
        <v>10</v>
      </c>
      <c r="F18" s="22" t="n">
        <f aca="false">C18*$B$5</f>
        <v>4.8</v>
      </c>
      <c r="G18" s="22" t="n">
        <f aca="false">D18*$B$5</f>
        <v>5.4</v>
      </c>
      <c r="H18" s="22" t="n">
        <f aca="false">E18*$B$5</f>
        <v>6</v>
      </c>
      <c r="I18" s="23" t="n">
        <f aca="false">IF(C18=0,"",E18/C18-1)</f>
        <v>0.25</v>
      </c>
    </row>
    <row r="19" customFormat="false" ht="15" hidden="false" customHeight="false" outlineLevel="0" collapsed="false">
      <c r="A19" s="19" t="s">
        <v>4</v>
      </c>
      <c r="B19" s="20" t="s">
        <v>506</v>
      </c>
      <c r="C19" s="21" t="n">
        <v>6</v>
      </c>
      <c r="D19" s="21" t="n">
        <v>7</v>
      </c>
      <c r="E19" s="21" t="n">
        <v>8</v>
      </c>
      <c r="F19" s="22" t="n">
        <f aca="false">C19*$B$5</f>
        <v>3.6</v>
      </c>
      <c r="G19" s="22" t="n">
        <f aca="false">D19*$B$5</f>
        <v>4.2</v>
      </c>
      <c r="H19" s="22" t="n">
        <f aca="false">E19*$B$5</f>
        <v>4.8</v>
      </c>
      <c r="I19" s="23" t="n">
        <f aca="false">IF(C19=0,"",E19/C19-1)</f>
        <v>0.333333333333333</v>
      </c>
    </row>
    <row r="20" customFormat="false" ht="15" hidden="false" customHeight="false" outlineLevel="0" collapsed="false">
      <c r="A20" s="19" t="s">
        <v>4</v>
      </c>
      <c r="B20" s="20" t="s">
        <v>507</v>
      </c>
      <c r="C20" s="21" t="n">
        <v>5</v>
      </c>
      <c r="D20" s="21" t="n">
        <v>6</v>
      </c>
      <c r="E20" s="21" t="n">
        <v>7</v>
      </c>
      <c r="F20" s="22" t="n">
        <f aca="false">C20*$B$5</f>
        <v>3</v>
      </c>
      <c r="G20" s="22" t="n">
        <f aca="false">D20*$B$5</f>
        <v>3.6</v>
      </c>
      <c r="H20" s="22" t="n">
        <f aca="false">E20*$B$5</f>
        <v>4.2</v>
      </c>
      <c r="I20" s="23" t="n">
        <f aca="false">IF(C20=0,"",E20/C20-1)</f>
        <v>0.4</v>
      </c>
    </row>
    <row r="21" customFormat="false" ht="15" hidden="false" customHeight="false" outlineLevel="0" collapsed="false">
      <c r="A21" s="19" t="s">
        <v>4</v>
      </c>
      <c r="B21" s="20" t="s">
        <v>508</v>
      </c>
      <c r="C21" s="21" t="n">
        <v>4</v>
      </c>
      <c r="D21" s="21" t="n">
        <v>5</v>
      </c>
      <c r="E21" s="21" t="n">
        <v>6</v>
      </c>
      <c r="F21" s="22" t="n">
        <f aca="false">C21*$B$5</f>
        <v>2.4</v>
      </c>
      <c r="G21" s="22" t="n">
        <f aca="false">D21*$B$5</f>
        <v>3</v>
      </c>
      <c r="H21" s="22" t="n">
        <f aca="false">E21*$B$5</f>
        <v>3.6</v>
      </c>
      <c r="I21" s="23" t="n">
        <f aca="false">IF(C21=0,"",E21/C21-1)</f>
        <v>0.5</v>
      </c>
    </row>
    <row r="22" customFormat="false" ht="15" hidden="false" customHeight="false" outlineLevel="0" collapsed="false">
      <c r="A22" s="19" t="s">
        <v>4</v>
      </c>
      <c r="B22" s="20" t="s">
        <v>509</v>
      </c>
      <c r="C22" s="21" t="n">
        <v>4</v>
      </c>
      <c r="D22" s="21" t="n">
        <v>4</v>
      </c>
      <c r="E22" s="21" t="n">
        <v>4</v>
      </c>
      <c r="F22" s="22" t="n">
        <f aca="false">C22*$B$5</f>
        <v>2.4</v>
      </c>
      <c r="G22" s="22" t="n">
        <f aca="false">D22*$B$5</f>
        <v>2.4</v>
      </c>
      <c r="H22" s="22" t="n">
        <f aca="false">E22*$B$5</f>
        <v>2.4</v>
      </c>
      <c r="I22" s="23" t="n">
        <f aca="false">IF(C22=0,"",E22/C22-1)</f>
        <v>0</v>
      </c>
    </row>
    <row r="23" customFormat="false" ht="15" hidden="false" customHeight="false" outlineLevel="0" collapsed="false">
      <c r="A23" s="19" t="s">
        <v>4</v>
      </c>
      <c r="B23" s="20" t="s">
        <v>510</v>
      </c>
      <c r="C23" s="21" t="n">
        <v>3</v>
      </c>
      <c r="D23" s="21" t="n">
        <v>4</v>
      </c>
      <c r="E23" s="21" t="n">
        <v>5</v>
      </c>
      <c r="F23" s="22" t="n">
        <f aca="false">C23*$B$5</f>
        <v>1.8</v>
      </c>
      <c r="G23" s="22" t="n">
        <f aca="false">D23*$B$5</f>
        <v>2.4</v>
      </c>
      <c r="H23" s="22" t="n">
        <f aca="false">E23*$B$5</f>
        <v>3</v>
      </c>
      <c r="I23" s="23" t="n">
        <f aca="false">IF(C23=0,"",E23/C23-1)</f>
        <v>0.666666666666667</v>
      </c>
    </row>
    <row r="24" customFormat="false" ht="15" hidden="false" customHeight="false" outlineLevel="0" collapsed="false">
      <c r="A24" s="19" t="s">
        <v>4</v>
      </c>
      <c r="B24" s="20" t="s">
        <v>511</v>
      </c>
      <c r="C24" s="21" t="n">
        <v>3</v>
      </c>
      <c r="D24" s="21" t="n">
        <v>3</v>
      </c>
      <c r="E24" s="21" t="n">
        <v>3</v>
      </c>
      <c r="F24" s="22" t="n">
        <f aca="false">C24*$B$5</f>
        <v>1.8</v>
      </c>
      <c r="G24" s="22" t="n">
        <f aca="false">D24*$B$5</f>
        <v>1.8</v>
      </c>
      <c r="H24" s="22" t="n">
        <f aca="false">E24*$B$5</f>
        <v>1.8</v>
      </c>
      <c r="I24" s="23" t="n">
        <f aca="false">IF(C24=0,"",E24/C24-1)</f>
        <v>0</v>
      </c>
    </row>
    <row r="25" customFormat="false" ht="15" hidden="false" customHeight="false" outlineLevel="0" collapsed="false">
      <c r="A25" s="19" t="s">
        <v>4</v>
      </c>
      <c r="B25" s="20" t="s">
        <v>512</v>
      </c>
      <c r="C25" s="21" t="n">
        <v>2</v>
      </c>
      <c r="D25" s="21" t="n">
        <v>2</v>
      </c>
      <c r="E25" s="21" t="n">
        <v>3</v>
      </c>
      <c r="F25" s="22" t="n">
        <f aca="false">C25*$B$5</f>
        <v>1.2</v>
      </c>
      <c r="G25" s="22" t="n">
        <f aca="false">D25*$B$5</f>
        <v>1.2</v>
      </c>
      <c r="H25" s="22" t="n">
        <f aca="false">E25*$B$5</f>
        <v>1.8</v>
      </c>
      <c r="I25" s="23" t="n">
        <f aca="false">IF(C25=0,"",E25/C25-1)</f>
        <v>0.5</v>
      </c>
    </row>
    <row r="26" customFormat="false" ht="15" hidden="false" customHeight="false" outlineLevel="0" collapsed="false">
      <c r="A26" s="19" t="s">
        <v>4</v>
      </c>
      <c r="B26" s="20" t="s">
        <v>513</v>
      </c>
      <c r="C26" s="21" t="n">
        <v>2</v>
      </c>
      <c r="D26" s="21" t="n">
        <v>3</v>
      </c>
      <c r="E26" s="21" t="n">
        <v>3</v>
      </c>
      <c r="F26" s="22" t="n">
        <f aca="false">C26*$B$5</f>
        <v>1.2</v>
      </c>
      <c r="G26" s="22" t="n">
        <f aca="false">D26*$B$5</f>
        <v>1.8</v>
      </c>
      <c r="H26" s="22" t="n">
        <f aca="false">E26*$B$5</f>
        <v>1.8</v>
      </c>
      <c r="I26" s="23" t="n">
        <f aca="false">IF(C26=0,"",E26/C26-1)</f>
        <v>0.5</v>
      </c>
    </row>
    <row r="27" customFormat="false" ht="15" hidden="false" customHeight="false" outlineLevel="0" collapsed="false">
      <c r="A27" s="19" t="s">
        <v>4</v>
      </c>
      <c r="B27" s="20" t="s">
        <v>514</v>
      </c>
      <c r="C27" s="21" t="n">
        <v>2</v>
      </c>
      <c r="D27" s="21" t="n">
        <v>3</v>
      </c>
      <c r="E27" s="21" t="n">
        <v>4</v>
      </c>
      <c r="F27" s="22" t="n">
        <f aca="false">C27*$B$5</f>
        <v>1.2</v>
      </c>
      <c r="G27" s="22" t="n">
        <f aca="false">D27*$B$5</f>
        <v>1.8</v>
      </c>
      <c r="H27" s="22" t="n">
        <f aca="false">E27*$B$5</f>
        <v>2.4</v>
      </c>
      <c r="I27" s="23" t="n">
        <f aca="false">IF(C27=0,"",E27/C27-1)</f>
        <v>1</v>
      </c>
    </row>
    <row r="28" customFormat="false" ht="15" hidden="false" customHeight="false" outlineLevel="0" collapsed="false">
      <c r="A28" s="19" t="s">
        <v>4</v>
      </c>
      <c r="B28" s="20" t="s">
        <v>515</v>
      </c>
      <c r="C28" s="21" t="n">
        <v>2</v>
      </c>
      <c r="D28" s="21" t="n">
        <v>2</v>
      </c>
      <c r="E28" s="21" t="n">
        <v>2</v>
      </c>
      <c r="F28" s="22" t="n">
        <f aca="false">C28*$B$5</f>
        <v>1.2</v>
      </c>
      <c r="G28" s="22" t="n">
        <f aca="false">D28*$B$5</f>
        <v>1.2</v>
      </c>
      <c r="H28" s="22" t="n">
        <f aca="false">E28*$B$5</f>
        <v>1.2</v>
      </c>
      <c r="I28" s="23" t="n">
        <f aca="false">IF(C28=0,"",E28/C28-1)</f>
        <v>0</v>
      </c>
    </row>
    <row r="29" customFormat="false" ht="15" hidden="false" customHeight="false" outlineLevel="0" collapsed="false">
      <c r="A29" s="19" t="s">
        <v>4</v>
      </c>
      <c r="B29" s="20" t="s">
        <v>516</v>
      </c>
      <c r="C29" s="21" t="n">
        <v>1</v>
      </c>
      <c r="D29" s="21" t="n">
        <v>1</v>
      </c>
      <c r="E29" s="21" t="n">
        <v>1</v>
      </c>
      <c r="F29" s="22" t="n">
        <f aca="false">C29*$B$5</f>
        <v>0.6</v>
      </c>
      <c r="G29" s="22" t="n">
        <f aca="false">D29*$B$5</f>
        <v>0.6</v>
      </c>
      <c r="H29" s="22" t="n">
        <f aca="false">E29*$B$5</f>
        <v>0.6</v>
      </c>
      <c r="I29" s="23" t="n">
        <f aca="false">IF(C29=0,"",E29/C29-1)</f>
        <v>0</v>
      </c>
    </row>
    <row r="30" customFormat="false" ht="15" hidden="false" customHeight="false" outlineLevel="0" collapsed="false">
      <c r="A30" s="19" t="s">
        <v>6</v>
      </c>
      <c r="B30" s="20" t="s">
        <v>517</v>
      </c>
      <c r="C30" s="21" t="n">
        <v>3</v>
      </c>
      <c r="D30" s="24" t="s">
        <v>410</v>
      </c>
      <c r="E30" s="21" t="n">
        <v>3</v>
      </c>
      <c r="F30" s="22" t="n">
        <f aca="false">C30*$B$6</f>
        <v>21</v>
      </c>
      <c r="G30" s="22" t="s">
        <v>410</v>
      </c>
      <c r="H30" s="22" t="n">
        <f aca="false">E30*$B$6</f>
        <v>21</v>
      </c>
      <c r="I30" s="23" t="n">
        <f aca="false">IF(C30=0,"",E30/C30-1)</f>
        <v>0</v>
      </c>
    </row>
    <row r="31" customFormat="false" ht="15" hidden="false" customHeight="false" outlineLevel="0" collapsed="false">
      <c r="A31" s="19" t="s">
        <v>6</v>
      </c>
      <c r="B31" s="20" t="s">
        <v>518</v>
      </c>
      <c r="C31" s="21" t="n">
        <v>3</v>
      </c>
      <c r="D31" s="24" t="s">
        <v>410</v>
      </c>
      <c r="E31" s="21" t="n">
        <v>3</v>
      </c>
      <c r="F31" s="22" t="n">
        <f aca="false">C31*$B$6</f>
        <v>21</v>
      </c>
      <c r="G31" s="22" t="s">
        <v>410</v>
      </c>
      <c r="H31" s="22" t="n">
        <f aca="false">E31*$B$6</f>
        <v>21</v>
      </c>
      <c r="I31" s="23" t="n">
        <f aca="false">IF(C31=0,"",E31/C31-1)</f>
        <v>0</v>
      </c>
    </row>
    <row r="32" customFormat="false" ht="15" hidden="false" customHeight="false" outlineLevel="0" collapsed="false">
      <c r="A32" s="19" t="s">
        <v>6</v>
      </c>
      <c r="B32" s="20" t="s">
        <v>519</v>
      </c>
      <c r="C32" s="21" t="n">
        <v>2</v>
      </c>
      <c r="D32" s="24" t="s">
        <v>410</v>
      </c>
      <c r="E32" s="21" t="n">
        <v>2</v>
      </c>
      <c r="F32" s="22" t="n">
        <f aca="false">C32*$B$6</f>
        <v>14</v>
      </c>
      <c r="G32" s="22" t="s">
        <v>410</v>
      </c>
      <c r="H32" s="22" t="n">
        <f aca="false">E32*$B$6</f>
        <v>14</v>
      </c>
      <c r="I32" s="23" t="n">
        <f aca="false">IF(C32=0,"",E32/C32-1)</f>
        <v>0</v>
      </c>
    </row>
    <row r="33" customFormat="false" ht="15" hidden="false" customHeight="false" outlineLevel="0" collapsed="false">
      <c r="A33" s="19" t="s">
        <v>6</v>
      </c>
      <c r="B33" s="20" t="s">
        <v>520</v>
      </c>
      <c r="C33" s="21" t="n">
        <v>0.6</v>
      </c>
      <c r="D33" s="24" t="s">
        <v>410</v>
      </c>
      <c r="E33" s="21" t="n">
        <v>0.6</v>
      </c>
      <c r="F33" s="22" t="n">
        <f aca="false">C33*$B$6</f>
        <v>4.2</v>
      </c>
      <c r="G33" s="22" t="s">
        <v>410</v>
      </c>
      <c r="H33" s="22" t="n">
        <f aca="false">E33*$B$6</f>
        <v>4.2</v>
      </c>
      <c r="I33" s="23" t="n">
        <f aca="false">IF(C33=0,"",E33/C33-1)</f>
        <v>0</v>
      </c>
    </row>
    <row r="34" customFormat="false" ht="15" hidden="false" customHeight="false" outlineLevel="0" collapsed="false">
      <c r="A34" s="25" t="s">
        <v>13</v>
      </c>
      <c r="B34" s="26" t="s">
        <v>521</v>
      </c>
      <c r="C34" s="27" t="s">
        <v>410</v>
      </c>
      <c r="D34" s="27" t="s">
        <v>410</v>
      </c>
      <c r="E34" s="27" t="s">
        <v>410</v>
      </c>
      <c r="F34" s="28" t="n">
        <v>5</v>
      </c>
      <c r="G34" s="28" t="s">
        <v>410</v>
      </c>
      <c r="H34" s="28" t="s">
        <v>410</v>
      </c>
      <c r="I34" s="29" t="s">
        <v>410</v>
      </c>
    </row>
    <row r="35" customFormat="false" ht="15" hidden="false" customHeight="false" outlineLevel="0" collapsed="false">
      <c r="A35" s="25" t="s">
        <v>13</v>
      </c>
      <c r="B35" s="26" t="s">
        <v>522</v>
      </c>
      <c r="C35" s="27" t="s">
        <v>410</v>
      </c>
      <c r="D35" s="27" t="s">
        <v>410</v>
      </c>
      <c r="E35" s="27" t="s">
        <v>410</v>
      </c>
      <c r="F35" s="28" t="n">
        <v>10</v>
      </c>
      <c r="G35" s="28" t="s">
        <v>410</v>
      </c>
      <c r="H35" s="28" t="s">
        <v>410</v>
      </c>
      <c r="I35" s="29" t="s">
        <v>410</v>
      </c>
    </row>
    <row r="36" customFormat="false" ht="15" hidden="false" customHeight="false" outlineLevel="0" collapsed="false">
      <c r="A36" s="30" t="s">
        <v>523</v>
      </c>
      <c r="B36" s="31" t="s">
        <v>524</v>
      </c>
      <c r="C36" s="32" t="s">
        <v>410</v>
      </c>
      <c r="D36" s="32" t="s">
        <v>410</v>
      </c>
      <c r="E36" s="32" t="s">
        <v>410</v>
      </c>
      <c r="F36" s="33" t="n">
        <v>0</v>
      </c>
      <c r="G36" s="33" t="n">
        <v>0</v>
      </c>
      <c r="H36" s="33" t="n">
        <v>0</v>
      </c>
      <c r="I36" s="34" t="s">
        <v>410</v>
      </c>
    </row>
    <row r="37" customFormat="false" ht="15" hidden="false" customHeight="false" outlineLevel="0" collapsed="false">
      <c r="A37" s="30" t="s">
        <v>7</v>
      </c>
      <c r="B37" s="31" t="s">
        <v>525</v>
      </c>
      <c r="C37" s="32" t="s">
        <v>410</v>
      </c>
      <c r="D37" s="32" t="s">
        <v>410</v>
      </c>
      <c r="E37" s="32" t="s">
        <v>410</v>
      </c>
      <c r="F37" s="33" t="n">
        <v>0</v>
      </c>
      <c r="G37" s="33" t="n">
        <v>0</v>
      </c>
      <c r="H37" s="33" t="n">
        <v>0</v>
      </c>
      <c r="I37" s="34" t="s">
        <v>410</v>
      </c>
    </row>
    <row r="38" customFormat="false" ht="15" hidden="false" customHeight="false" outlineLevel="0" collapsed="false">
      <c r="A38" s="30" t="s">
        <v>8</v>
      </c>
      <c r="B38" s="31" t="s">
        <v>526</v>
      </c>
      <c r="C38" s="32" t="s">
        <v>410</v>
      </c>
      <c r="D38" s="32" t="s">
        <v>410</v>
      </c>
      <c r="E38" s="32" t="s">
        <v>410</v>
      </c>
      <c r="F38" s="33" t="n">
        <v>0</v>
      </c>
      <c r="G38" s="33" t="n">
        <v>0</v>
      </c>
      <c r="H38" s="33" t="n">
        <v>0</v>
      </c>
      <c r="I38" s="34" t="s">
        <v>410</v>
      </c>
    </row>
    <row r="39" customFormat="false" ht="15" hidden="false" customHeight="false" outlineLevel="0" collapsed="false">
      <c r="A39" s="30" t="s">
        <v>9</v>
      </c>
      <c r="B39" s="31" t="s">
        <v>527</v>
      </c>
      <c r="C39" s="32" t="s">
        <v>410</v>
      </c>
      <c r="D39" s="32" t="s">
        <v>410</v>
      </c>
      <c r="E39" s="32" t="s">
        <v>410</v>
      </c>
      <c r="F39" s="33" t="n">
        <v>0</v>
      </c>
      <c r="G39" s="33" t="n">
        <v>0</v>
      </c>
      <c r="H39" s="33" t="n">
        <v>0</v>
      </c>
      <c r="I39" s="34" t="s">
        <v>410</v>
      </c>
    </row>
    <row r="40" customFormat="false" ht="15" hidden="false" customHeight="false" outlineLevel="0" collapsed="false">
      <c r="A40" s="30" t="s">
        <v>10</v>
      </c>
      <c r="B40" s="31" t="s">
        <v>528</v>
      </c>
      <c r="C40" s="32" t="s">
        <v>410</v>
      </c>
      <c r="D40" s="32" t="s">
        <v>410</v>
      </c>
      <c r="E40" s="32" t="s">
        <v>410</v>
      </c>
      <c r="F40" s="33" t="n">
        <v>0</v>
      </c>
      <c r="G40" s="33" t="n">
        <v>0</v>
      </c>
      <c r="H40" s="33" t="n">
        <v>0</v>
      </c>
      <c r="I40" s="34" t="s">
        <v>410</v>
      </c>
    </row>
    <row r="41" customFormat="false" ht="15" hidden="false" customHeight="false" outlineLevel="0" collapsed="false">
      <c r="A41" s="30" t="s">
        <v>11</v>
      </c>
      <c r="B41" s="31" t="s">
        <v>528</v>
      </c>
      <c r="C41" s="32" t="s">
        <v>410</v>
      </c>
      <c r="D41" s="32" t="s">
        <v>410</v>
      </c>
      <c r="E41" s="32" t="s">
        <v>410</v>
      </c>
      <c r="F41" s="33" t="n">
        <v>0</v>
      </c>
      <c r="G41" s="33" t="n">
        <v>0</v>
      </c>
      <c r="H41" s="33" t="n">
        <v>0</v>
      </c>
      <c r="I41" s="34" t="s">
        <v>410</v>
      </c>
    </row>
    <row r="42" customFormat="false" ht="15" hidden="false" customHeight="false" outlineLevel="0" collapsed="false">
      <c r="A42" s="30" t="s">
        <v>12</v>
      </c>
      <c r="B42" s="31" t="s">
        <v>528</v>
      </c>
      <c r="C42" s="32" t="s">
        <v>410</v>
      </c>
      <c r="D42" s="32" t="s">
        <v>410</v>
      </c>
      <c r="E42" s="32" t="s">
        <v>410</v>
      </c>
      <c r="F42" s="33" t="n">
        <v>0</v>
      </c>
      <c r="G42" s="33" t="n">
        <v>0</v>
      </c>
      <c r="H42" s="33" t="n">
        <v>0</v>
      </c>
      <c r="I42" s="34" t="s">
        <v>410</v>
      </c>
    </row>
    <row r="43" customFormat="false" ht="15" hidden="false" customHeight="false" outlineLevel="0" collapsed="false">
      <c r="A43" s="30" t="s">
        <v>14</v>
      </c>
      <c r="B43" s="31" t="s">
        <v>529</v>
      </c>
      <c r="C43" s="32" t="s">
        <v>410</v>
      </c>
      <c r="D43" s="32" t="s">
        <v>410</v>
      </c>
      <c r="E43" s="32" t="s">
        <v>410</v>
      </c>
      <c r="F43" s="33" t="n">
        <v>0</v>
      </c>
      <c r="G43" s="33" t="n">
        <v>0</v>
      </c>
      <c r="H43" s="33" t="n">
        <v>0</v>
      </c>
      <c r="I43" s="34" t="s">
        <v>410</v>
      </c>
    </row>
    <row r="45" customFormat="false" ht="15" hidden="false" customHeight="false" outlineLevel="0" collapsed="false">
      <c r="A45" s="13" t="s">
        <v>530</v>
      </c>
    </row>
    <row r="46" customFormat="false" ht="15" hidden="false" customHeight="false" outlineLevel="0" collapsed="false">
      <c r="A46" s="14" t="s">
        <v>531</v>
      </c>
    </row>
    <row r="47" customFormat="false" ht="15" hidden="false" customHeight="false" outlineLevel="0" collapsed="false">
      <c r="A47" s="14" t="s">
        <v>532</v>
      </c>
    </row>
    <row r="48" customFormat="false" ht="15" hidden="false" customHeight="false" outlineLevel="0" collapsed="false">
      <c r="A48" s="14" t="s">
        <v>533</v>
      </c>
    </row>
    <row r="49" customFormat="false" ht="15" hidden="false" customHeight="false" outlineLevel="0" collapsed="false">
      <c r="A49" s="14" t="s">
        <v>534</v>
      </c>
    </row>
    <row r="50" customFormat="false" ht="15" hidden="false" customHeight="false" outlineLevel="0" collapsed="false">
      <c r="A50" s="14" t="s">
        <v>535</v>
      </c>
    </row>
    <row r="51" customFormat="false" ht="15" hidden="false" customHeight="false" outlineLevel="0" collapsed="false">
      <c r="A51" s="13" t="s">
        <v>536</v>
      </c>
    </row>
    <row r="52" customFormat="false" ht="15" hidden="false" customHeight="false" outlineLevel="0" collapsed="false">
      <c r="A52" s="14" t="s">
        <v>537</v>
      </c>
    </row>
    <row r="53" customFormat="false" ht="15" hidden="false" customHeight="false" outlineLevel="0" collapsed="false">
      <c r="A53" s="14" t="s">
        <v>538</v>
      </c>
    </row>
    <row r="54" customFormat="false" ht="15" hidden="false" customHeight="false" outlineLevel="0" collapsed="false">
      <c r="A54" s="14" t="s">
        <v>539</v>
      </c>
    </row>
    <row r="55" customFormat="false" ht="15" hidden="false" customHeight="false" outlineLevel="0" collapsed="false">
      <c r="A55" s="14" t="s">
        <v>540</v>
      </c>
    </row>
    <row r="56" customFormat="false" ht="15" hidden="false" customHeight="false" outlineLevel="0" collapsed="false">
      <c r="A56" s="14" t="s">
        <v>541</v>
      </c>
    </row>
    <row r="59" customFormat="false" ht="15" hidden="false" customHeight="false" outlineLevel="0" collapsed="false">
      <c r="A59" s="13" t="s">
        <v>542</v>
      </c>
    </row>
    <row r="60" customFormat="false" ht="15" hidden="false" customHeight="false" outlineLevel="0" collapsed="false">
      <c r="A60" s="2" t="s">
        <v>543</v>
      </c>
    </row>
    <row r="61" customFormat="false" ht="15" hidden="false" customHeight="false" outlineLevel="0" collapsed="false">
      <c r="A61" s="3" t="s">
        <v>544</v>
      </c>
      <c r="B61" s="3" t="s">
        <v>545</v>
      </c>
      <c r="C61" s="3" t="s">
        <v>241</v>
      </c>
    </row>
    <row r="62" customFormat="false" ht="38.05" hidden="false" customHeight="false" outlineLevel="0" collapsed="false">
      <c r="A62" s="8" t="s">
        <v>546</v>
      </c>
      <c r="B62" s="9" t="s">
        <v>547</v>
      </c>
      <c r="C62" s="9" t="s">
        <v>548</v>
      </c>
    </row>
    <row r="63" customFormat="false" ht="76.1" hidden="false" customHeight="false" outlineLevel="0" collapsed="false">
      <c r="A63" s="8" t="s">
        <v>549</v>
      </c>
      <c r="B63" s="9" t="s">
        <v>550</v>
      </c>
      <c r="C63" s="9" t="s">
        <v>551</v>
      </c>
    </row>
    <row r="64" customFormat="false" ht="39.55" hidden="false" customHeight="false" outlineLevel="0" collapsed="false">
      <c r="A64" s="8" t="s">
        <v>552</v>
      </c>
      <c r="B64" s="9" t="s">
        <v>550</v>
      </c>
      <c r="C64" s="9" t="s">
        <v>553</v>
      </c>
    </row>
    <row r="65" customFormat="false" ht="52.2" hidden="false" customHeight="false" outlineLevel="0" collapsed="false">
      <c r="A65" s="8" t="s">
        <v>554</v>
      </c>
      <c r="B65" s="9" t="s">
        <v>555</v>
      </c>
      <c r="C65" s="9" t="s">
        <v>556</v>
      </c>
    </row>
    <row r="66" customFormat="false" ht="52.2" hidden="false" customHeight="false" outlineLevel="0" collapsed="false">
      <c r="A66" s="8" t="s">
        <v>557</v>
      </c>
      <c r="B66" s="9" t="s">
        <v>558</v>
      </c>
      <c r="C66" s="9" t="s">
        <v>559</v>
      </c>
    </row>
    <row r="67" customFormat="false" ht="77.6" hidden="false" customHeight="false" outlineLevel="0" collapsed="false">
      <c r="A67" s="8" t="s">
        <v>560</v>
      </c>
      <c r="B67" s="9" t="s">
        <v>561</v>
      </c>
      <c r="C67" s="9" t="s">
        <v>562</v>
      </c>
    </row>
    <row r="68" customFormat="false" ht="39.55" hidden="false" customHeight="false" outlineLevel="0" collapsed="false">
      <c r="A68" s="8" t="s">
        <v>563</v>
      </c>
      <c r="B68" s="9" t="s">
        <v>564</v>
      </c>
      <c r="C68" s="9" t="s">
        <v>565</v>
      </c>
    </row>
    <row r="69" customFormat="false" ht="76.1" hidden="false" customHeight="false" outlineLevel="0" collapsed="false">
      <c r="A69" s="8" t="s">
        <v>566</v>
      </c>
      <c r="B69" s="9" t="s">
        <v>567</v>
      </c>
      <c r="C69" s="10" t="s">
        <v>568</v>
      </c>
    </row>
    <row r="70" customFormat="false" ht="50.7" hidden="false" customHeight="false" outlineLevel="0" collapsed="false">
      <c r="A70" s="8" t="s">
        <v>569</v>
      </c>
      <c r="B70" s="9" t="s">
        <v>570</v>
      </c>
      <c r="C70" s="9" t="s">
        <v>571</v>
      </c>
    </row>
    <row r="71" customFormat="false" ht="52.2" hidden="false" customHeight="false" outlineLevel="0" collapsed="false">
      <c r="A71" s="8" t="s">
        <v>572</v>
      </c>
      <c r="B71" s="9" t="s">
        <v>573</v>
      </c>
      <c r="C71" s="9" t="s">
        <v>574</v>
      </c>
    </row>
    <row r="72" customFormat="false" ht="76.1" hidden="false" customHeight="false" outlineLevel="0" collapsed="false">
      <c r="A72" s="8" t="s">
        <v>575</v>
      </c>
      <c r="B72" s="9" t="s">
        <v>576</v>
      </c>
      <c r="C72" s="9" t="s">
        <v>577</v>
      </c>
    </row>
    <row r="73" customFormat="false" ht="77.6" hidden="false" customHeight="false" outlineLevel="0" collapsed="false">
      <c r="A73" s="8" t="s">
        <v>578</v>
      </c>
      <c r="B73" s="9" t="s">
        <v>579</v>
      </c>
      <c r="C73" s="9" t="s">
        <v>580</v>
      </c>
    </row>
    <row r="74" customFormat="false" ht="76.1" hidden="false" customHeight="false" outlineLevel="0" collapsed="false">
      <c r="A74" s="8" t="s">
        <v>581</v>
      </c>
      <c r="B74" s="9" t="s">
        <v>582</v>
      </c>
      <c r="C74" s="10" t="s">
        <v>583</v>
      </c>
    </row>
    <row r="75" customFormat="false" ht="50.7" hidden="false" customHeight="false" outlineLevel="0" collapsed="false">
      <c r="A75" s="8" t="s">
        <v>584</v>
      </c>
      <c r="B75" s="9" t="s">
        <v>585</v>
      </c>
      <c r="C75" s="9" t="s">
        <v>586</v>
      </c>
    </row>
    <row r="76" customFormat="false" ht="26.85" hidden="false" customHeight="false" outlineLevel="0" collapsed="false">
      <c r="A76" s="8" t="s">
        <v>587</v>
      </c>
      <c r="B76" s="9" t="s">
        <v>45</v>
      </c>
      <c r="C76" s="10" t="s">
        <v>588</v>
      </c>
    </row>
    <row r="77" customFormat="false" ht="36.55" hidden="false" customHeight="false" outlineLevel="0" collapsed="false">
      <c r="A77" s="8" t="s">
        <v>589</v>
      </c>
      <c r="B77" s="9" t="s">
        <v>45</v>
      </c>
      <c r="C77" s="10" t="s">
        <v>590</v>
      </c>
    </row>
    <row r="78" customFormat="false" ht="50.7" hidden="false" customHeight="false" outlineLevel="0" collapsed="false">
      <c r="A78" s="8" t="s">
        <v>591</v>
      </c>
      <c r="B78" s="9" t="s">
        <v>45</v>
      </c>
      <c r="C78" s="9" t="s">
        <v>592</v>
      </c>
    </row>
    <row r="79" customFormat="false" ht="64.9" hidden="false" customHeight="false" outlineLevel="0" collapsed="false">
      <c r="A79" s="8" t="s">
        <v>593</v>
      </c>
      <c r="B79" s="9" t="s">
        <v>45</v>
      </c>
      <c r="C79" s="10" t="s">
        <v>594</v>
      </c>
    </row>
    <row r="80" customFormat="false" ht="39.55" hidden="false" customHeight="false" outlineLevel="0" collapsed="false">
      <c r="A80" s="8" t="s">
        <v>595</v>
      </c>
      <c r="B80" s="9" t="s">
        <v>98</v>
      </c>
      <c r="C80" s="9" t="s">
        <v>596</v>
      </c>
    </row>
    <row r="81" customFormat="false" ht="39.55" hidden="false" customHeight="false" outlineLevel="0" collapsed="false">
      <c r="A81" s="8" t="s">
        <v>597</v>
      </c>
      <c r="B81" s="9" t="s">
        <v>100</v>
      </c>
      <c r="C81" s="9" t="s">
        <v>598</v>
      </c>
    </row>
    <row r="84" customFormat="false" ht="15" hidden="false" customHeight="false" outlineLevel="0" collapsed="false">
      <c r="A84" s="13" t="s">
        <v>599</v>
      </c>
    </row>
    <row r="85" customFormat="false" ht="15" hidden="false" customHeight="false" outlineLevel="0" collapsed="false">
      <c r="A85" s="2" t="s">
        <v>600</v>
      </c>
    </row>
    <row r="86" customFormat="false" ht="26.85" hidden="false" customHeight="false" outlineLevel="0" collapsed="false">
      <c r="A86" s="3" t="s">
        <v>494</v>
      </c>
      <c r="B86" s="3" t="s">
        <v>601</v>
      </c>
      <c r="C86" s="3" t="s">
        <v>602</v>
      </c>
      <c r="D86" s="3" t="s">
        <v>603</v>
      </c>
      <c r="E86" s="3" t="s">
        <v>604</v>
      </c>
      <c r="F86" s="3" t="s">
        <v>605</v>
      </c>
    </row>
    <row r="87" customFormat="false" ht="15" hidden="false" customHeight="false" outlineLevel="0" collapsed="false">
      <c r="A87" s="8" t="s">
        <v>606</v>
      </c>
      <c r="B87" s="35" t="s">
        <v>607</v>
      </c>
      <c r="C87" s="36" t="n">
        <v>0.05</v>
      </c>
      <c r="D87" s="36" t="n">
        <v>0.1</v>
      </c>
      <c r="E87" s="36" t="n">
        <v>0.2</v>
      </c>
      <c r="F87" s="36" t="n">
        <v>0.5</v>
      </c>
    </row>
    <row r="88" customFormat="false" ht="15" hidden="false" customHeight="false" outlineLevel="0" collapsed="false">
      <c r="A88" s="8" t="s">
        <v>608</v>
      </c>
      <c r="B88" s="37" t="n">
        <v>15</v>
      </c>
      <c r="C88" s="38" t="n">
        <f aca="false">$B88*$B$11*C$87</f>
        <v>0.75</v>
      </c>
      <c r="D88" s="38" t="n">
        <f aca="false">$B88*$B$11*D$87</f>
        <v>1.5</v>
      </c>
      <c r="E88" s="38" t="n">
        <f aca="false">$B88*$B$11*E$87</f>
        <v>3</v>
      </c>
      <c r="F88" s="38" t="n">
        <f aca="false">$B88*$B$11*F$87</f>
        <v>7.5</v>
      </c>
    </row>
    <row r="89" customFormat="false" ht="15" hidden="false" customHeight="false" outlineLevel="0" collapsed="false">
      <c r="A89" s="8" t="s">
        <v>609</v>
      </c>
      <c r="B89" s="37" t="n">
        <v>40</v>
      </c>
      <c r="C89" s="38" t="n">
        <f aca="false">$B89*$B$11*C$87</f>
        <v>2</v>
      </c>
      <c r="D89" s="38" t="n">
        <f aca="false">$B89*$B$11*D$87</f>
        <v>4</v>
      </c>
      <c r="E89" s="38" t="n">
        <f aca="false">$B89*$B$11*E$87</f>
        <v>8</v>
      </c>
      <c r="F89" s="38" t="n">
        <f aca="false">$B89*$B$11*F$87</f>
        <v>20</v>
      </c>
    </row>
    <row r="90" customFormat="false" ht="15" hidden="false" customHeight="false" outlineLevel="0" collapsed="false">
      <c r="A90" s="8" t="s">
        <v>610</v>
      </c>
      <c r="B90" s="37" t="n">
        <v>80</v>
      </c>
      <c r="C90" s="38" t="n">
        <f aca="false">$B90*$B$11*C$87</f>
        <v>4</v>
      </c>
      <c r="D90" s="38" t="n">
        <f aca="false">$B90*$B$11*D$87</f>
        <v>8</v>
      </c>
      <c r="E90" s="38" t="n">
        <f aca="false">$B90*$B$11*E$87</f>
        <v>16</v>
      </c>
      <c r="F90" s="38" t="n">
        <f aca="false">$B90*$B$11*F$87</f>
        <v>40</v>
      </c>
    </row>
    <row r="91" customFormat="false" ht="15" hidden="false" customHeight="false" outlineLevel="0" collapsed="false">
      <c r="A91" s="8" t="s">
        <v>611</v>
      </c>
      <c r="B91" s="37" t="n">
        <v>120</v>
      </c>
      <c r="C91" s="38" t="n">
        <f aca="false">$B91*$B$11*C$87</f>
        <v>6</v>
      </c>
      <c r="D91" s="38" t="n">
        <f aca="false">$B91*$B$11*D$87</f>
        <v>12</v>
      </c>
      <c r="E91" s="38" t="n">
        <f aca="false">$B91*$B$11*E$87</f>
        <v>24</v>
      </c>
      <c r="F91" s="38" t="n">
        <f aca="false">$B91*$B$11*F$87</f>
        <v>60</v>
      </c>
    </row>
    <row r="93" customFormat="false" ht="15" hidden="false" customHeight="false" outlineLevel="0" collapsed="false">
      <c r="A93" s="14" t="s">
        <v>612</v>
      </c>
    </row>
    <row r="94" customFormat="false" ht="15" hidden="false" customHeight="false" outlineLevel="0" collapsed="false">
      <c r="A94" s="14" t="s">
        <v>613</v>
      </c>
    </row>
    <row r="95" customFormat="false" ht="15" hidden="false" customHeight="false" outlineLevel="0" collapsed="false">
      <c r="A95" s="39" t="s">
        <v>614</v>
      </c>
    </row>
    <row r="97" customFormat="false" ht="15" hidden="false" customHeight="false" outlineLevel="0" collapsed="false">
      <c r="A97" s="13" t="s">
        <v>615</v>
      </c>
    </row>
    <row r="98" customFormat="false" ht="15" hidden="false" customHeight="false" outlineLevel="0" collapsed="false">
      <c r="A98" s="2" t="s">
        <v>616</v>
      </c>
    </row>
    <row r="99" customFormat="false" ht="26.85" hidden="false" customHeight="false" outlineLevel="0" collapsed="false">
      <c r="A99" s="3" t="s">
        <v>493</v>
      </c>
      <c r="B99" s="3" t="s">
        <v>617</v>
      </c>
      <c r="C99" s="3" t="s">
        <v>618</v>
      </c>
      <c r="D99" s="3" t="s">
        <v>290</v>
      </c>
      <c r="E99" s="3" t="s">
        <v>619</v>
      </c>
    </row>
    <row r="100" customFormat="false" ht="64.9" hidden="false" customHeight="false" outlineLevel="0" collapsed="false">
      <c r="A100" s="8" t="s">
        <v>12</v>
      </c>
      <c r="B100" s="10" t="s">
        <v>620</v>
      </c>
      <c r="C100" s="9" t="s">
        <v>621</v>
      </c>
      <c r="D100" s="9" t="s">
        <v>622</v>
      </c>
      <c r="E100" s="9" t="s">
        <v>623</v>
      </c>
    </row>
    <row r="101" customFormat="false" ht="64.9" hidden="false" customHeight="false" outlineLevel="0" collapsed="false">
      <c r="A101" s="8" t="s">
        <v>523</v>
      </c>
      <c r="B101" s="10" t="s">
        <v>624</v>
      </c>
      <c r="C101" s="9" t="s">
        <v>625</v>
      </c>
      <c r="D101" s="10" t="s">
        <v>626</v>
      </c>
      <c r="E101" s="9" t="s">
        <v>627</v>
      </c>
    </row>
    <row r="102" customFormat="false" ht="39.55" hidden="false" customHeight="false" outlineLevel="0" collapsed="false">
      <c r="A102" s="8" t="s">
        <v>628</v>
      </c>
      <c r="B102" s="10" t="s">
        <v>620</v>
      </c>
      <c r="C102" s="9" t="s">
        <v>629</v>
      </c>
      <c r="D102" s="9" t="s">
        <v>45</v>
      </c>
      <c r="E102" s="9" t="s">
        <v>98</v>
      </c>
    </row>
    <row r="104" customFormat="false" ht="15" hidden="false" customHeight="false" outlineLevel="0" collapsed="false">
      <c r="A104" s="14" t="s">
        <v>630</v>
      </c>
    </row>
    <row r="105" customFormat="false" ht="15" hidden="false" customHeight="false" outlineLevel="0" collapsed="false">
      <c r="A105" s="14" t="s">
        <v>631</v>
      </c>
    </row>
    <row r="107" customFormat="false" ht="15" hidden="false" customHeight="false" outlineLevel="0" collapsed="false">
      <c r="A107" s="13" t="s">
        <v>632</v>
      </c>
    </row>
    <row r="108" customFormat="false" ht="15" hidden="false" customHeight="false" outlineLevel="0" collapsed="false">
      <c r="A108" s="2" t="s">
        <v>633</v>
      </c>
    </row>
    <row r="109" customFormat="false" ht="15" hidden="false" customHeight="false" outlineLevel="0" collapsed="false">
      <c r="A109" s="3" t="s">
        <v>493</v>
      </c>
      <c r="B109" s="3" t="s">
        <v>634</v>
      </c>
      <c r="C109" s="3" t="s">
        <v>635</v>
      </c>
    </row>
    <row r="110" customFormat="false" ht="26.85" hidden="false" customHeight="false" outlineLevel="0" collapsed="false">
      <c r="A110" s="8" t="s">
        <v>13</v>
      </c>
      <c r="B110" s="9" t="s">
        <v>636</v>
      </c>
      <c r="C110" s="9" t="s">
        <v>637</v>
      </c>
    </row>
    <row r="111" customFormat="false" ht="26.85" hidden="false" customHeight="false" outlineLevel="0" collapsed="false">
      <c r="A111" s="8" t="s">
        <v>11</v>
      </c>
      <c r="B111" s="9" t="s">
        <v>638</v>
      </c>
      <c r="C111" s="10" t="s">
        <v>639</v>
      </c>
    </row>
    <row r="112" customFormat="false" ht="39.55" hidden="false" customHeight="false" outlineLevel="0" collapsed="false">
      <c r="A112" s="8" t="s">
        <v>11</v>
      </c>
      <c r="B112" s="9" t="s">
        <v>640</v>
      </c>
      <c r="C112" s="10" t="s">
        <v>641</v>
      </c>
    </row>
    <row r="113" customFormat="false" ht="26.85" hidden="false" customHeight="false" outlineLevel="0" collapsed="false">
      <c r="A113" s="8" t="s">
        <v>523</v>
      </c>
      <c r="B113" s="9" t="s">
        <v>642</v>
      </c>
      <c r="C113" s="10" t="s">
        <v>643</v>
      </c>
    </row>
    <row r="114" customFormat="false" ht="26.85" hidden="false" customHeight="false" outlineLevel="0" collapsed="false">
      <c r="A114" s="8" t="s">
        <v>7</v>
      </c>
      <c r="B114" s="10" t="s">
        <v>644</v>
      </c>
      <c r="C114" s="10" t="s">
        <v>645</v>
      </c>
    </row>
    <row r="115" customFormat="false" ht="26.85" hidden="false" customHeight="false" outlineLevel="0" collapsed="false">
      <c r="A115" s="8" t="s">
        <v>7</v>
      </c>
      <c r="B115" s="9" t="s">
        <v>646</v>
      </c>
      <c r="C115" s="9" t="s">
        <v>647</v>
      </c>
    </row>
    <row r="116" customFormat="false" ht="25.35" hidden="false" customHeight="false" outlineLevel="0" collapsed="false">
      <c r="A116" s="8" t="s">
        <v>6</v>
      </c>
      <c r="B116" s="9" t="s">
        <v>648</v>
      </c>
      <c r="C116" s="9" t="s">
        <v>649</v>
      </c>
    </row>
    <row r="117" customFormat="false" ht="15" hidden="false" customHeight="false" outlineLevel="0" collapsed="false">
      <c r="A117" s="8" t="s">
        <v>4</v>
      </c>
      <c r="B117" s="9" t="s">
        <v>650</v>
      </c>
      <c r="C117" s="9" t="s">
        <v>649</v>
      </c>
    </row>
    <row r="118" customFormat="false" ht="26.85" hidden="false" customHeight="false" outlineLevel="0" collapsed="false">
      <c r="A118" s="8" t="s">
        <v>4</v>
      </c>
      <c r="B118" s="9" t="s">
        <v>651</v>
      </c>
      <c r="C118" s="10" t="s">
        <v>652</v>
      </c>
    </row>
    <row r="121" customFormat="false" ht="15" hidden="false" customHeight="false" outlineLevel="0" collapsed="false">
      <c r="A121" s="13" t="s">
        <v>653</v>
      </c>
    </row>
    <row r="122" customFormat="false" ht="15" hidden="false" customHeight="false" outlineLevel="0" collapsed="false">
      <c r="A122" s="2" t="s">
        <v>654</v>
      </c>
    </row>
    <row r="123" customFormat="false" ht="15" hidden="false" customHeight="false" outlineLevel="0" collapsed="false">
      <c r="A123" s="3" t="s">
        <v>493</v>
      </c>
      <c r="B123" s="3" t="s">
        <v>655</v>
      </c>
      <c r="C123" s="3" t="s">
        <v>656</v>
      </c>
    </row>
    <row r="124" customFormat="false" ht="112.65" hidden="false" customHeight="false" outlineLevel="0" collapsed="false">
      <c r="A124" s="4" t="s">
        <v>18</v>
      </c>
      <c r="B124" s="5" t="s">
        <v>657</v>
      </c>
      <c r="C124" s="6" t="s">
        <v>658</v>
      </c>
    </row>
    <row r="125" customFormat="false" ht="90.25" hidden="false" customHeight="false" outlineLevel="0" collapsed="false">
      <c r="A125" s="8" t="s">
        <v>523</v>
      </c>
      <c r="B125" s="9" t="s">
        <v>659</v>
      </c>
      <c r="C125" s="9" t="s">
        <v>660</v>
      </c>
    </row>
    <row r="126" customFormat="false" ht="90.25" hidden="false" customHeight="false" outlineLevel="0" collapsed="false">
      <c r="A126" s="8" t="s">
        <v>12</v>
      </c>
      <c r="B126" s="9" t="s">
        <v>659</v>
      </c>
      <c r="C126" s="9" t="s">
        <v>661</v>
      </c>
    </row>
    <row r="127" customFormat="false" ht="115.65" hidden="false" customHeight="false" outlineLevel="0" collapsed="false">
      <c r="A127" s="8" t="s">
        <v>9</v>
      </c>
      <c r="B127" s="9" t="s">
        <v>659</v>
      </c>
      <c r="C127" s="9" t="s">
        <v>662</v>
      </c>
    </row>
    <row r="128" customFormat="false" ht="102.95" hidden="false" customHeight="false" outlineLevel="0" collapsed="false">
      <c r="A128" s="8" t="s">
        <v>11</v>
      </c>
      <c r="B128" s="9" t="s">
        <v>659</v>
      </c>
      <c r="C128" s="9" t="s">
        <v>663</v>
      </c>
    </row>
    <row r="129" customFormat="false" ht="52.2" hidden="false" customHeight="false" outlineLevel="0" collapsed="false">
      <c r="A129" s="8" t="s">
        <v>6</v>
      </c>
      <c r="B129" s="9" t="s">
        <v>659</v>
      </c>
      <c r="C129" s="9" t="s">
        <v>664</v>
      </c>
    </row>
    <row r="130" customFormat="false" ht="64.9" hidden="false" customHeight="false" outlineLevel="0" collapsed="false">
      <c r="A130" s="8" t="s">
        <v>15</v>
      </c>
      <c r="B130" s="9" t="s">
        <v>659</v>
      </c>
      <c r="C130" s="9" t="s">
        <v>665</v>
      </c>
    </row>
    <row r="131" customFormat="false" ht="102.95" hidden="false" customHeight="false" outlineLevel="0" collapsed="false">
      <c r="A131" s="8" t="s">
        <v>4</v>
      </c>
      <c r="B131" s="9" t="s">
        <v>666</v>
      </c>
      <c r="C131" s="9" t="s">
        <v>667</v>
      </c>
    </row>
    <row r="132" customFormat="false" ht="64.9" hidden="false" customHeight="false" outlineLevel="0" collapsed="false">
      <c r="A132" s="8" t="s">
        <v>17</v>
      </c>
      <c r="B132" s="9" t="s">
        <v>668</v>
      </c>
      <c r="C132" s="9" t="s">
        <v>669</v>
      </c>
    </row>
    <row r="133" customFormat="false" ht="64.9" hidden="false" customHeight="false" outlineLevel="0" collapsed="false">
      <c r="A133" s="8" t="s">
        <v>13</v>
      </c>
      <c r="B133" s="9" t="s">
        <v>670</v>
      </c>
      <c r="C133" s="9" t="s">
        <v>671</v>
      </c>
    </row>
    <row r="136" customFormat="false" ht="15" hidden="false" customHeight="false" outlineLevel="0" collapsed="false">
      <c r="A136" s="13" t="s">
        <v>672</v>
      </c>
    </row>
    <row r="137" customFormat="false" ht="15" hidden="false" customHeight="false" outlineLevel="0" collapsed="false">
      <c r="A137" s="2" t="s">
        <v>673</v>
      </c>
    </row>
    <row r="138" customFormat="false" ht="15" hidden="false" customHeight="false" outlineLevel="0" collapsed="false">
      <c r="A138" s="3" t="s">
        <v>493</v>
      </c>
      <c r="B138" s="3" t="s">
        <v>674</v>
      </c>
      <c r="C138" s="3" t="s">
        <v>675</v>
      </c>
    </row>
    <row r="139" customFormat="false" ht="90.25" hidden="false" customHeight="false" outlineLevel="0" collapsed="false">
      <c r="A139" s="40" t="s">
        <v>4</v>
      </c>
      <c r="B139" s="16" t="s">
        <v>676</v>
      </c>
      <c r="C139" s="16" t="s">
        <v>677</v>
      </c>
    </row>
    <row r="140" customFormat="false" ht="128.35" hidden="false" customHeight="false" outlineLevel="0" collapsed="false">
      <c r="A140" s="40" t="s">
        <v>20</v>
      </c>
      <c r="B140" s="16" t="s">
        <v>676</v>
      </c>
      <c r="C140" s="16" t="s">
        <v>678</v>
      </c>
    </row>
    <row r="141" customFormat="false" ht="77.6" hidden="false" customHeight="false" outlineLevel="0" collapsed="false">
      <c r="A141" s="8" t="s">
        <v>9</v>
      </c>
      <c r="B141" s="9" t="s">
        <v>679</v>
      </c>
      <c r="C141" s="10" t="s">
        <v>680</v>
      </c>
    </row>
    <row r="142" customFormat="false" ht="77.6" hidden="false" customHeight="false" outlineLevel="0" collapsed="false">
      <c r="A142" s="8" t="s">
        <v>15</v>
      </c>
      <c r="B142" s="9" t="s">
        <v>681</v>
      </c>
      <c r="C142" s="9" t="s">
        <v>682</v>
      </c>
    </row>
    <row r="143" customFormat="false" ht="77.6" hidden="false" customHeight="false" outlineLevel="0" collapsed="false">
      <c r="A143" s="8" t="s">
        <v>11</v>
      </c>
      <c r="B143" s="9" t="s">
        <v>683</v>
      </c>
      <c r="C143" s="9" t="s">
        <v>684</v>
      </c>
    </row>
    <row r="144" customFormat="false" ht="64.9" hidden="false" customHeight="false" outlineLevel="0" collapsed="false">
      <c r="A144" s="8" t="s">
        <v>16</v>
      </c>
      <c r="B144" s="9" t="s">
        <v>84</v>
      </c>
      <c r="C144" s="9" t="s">
        <v>685</v>
      </c>
    </row>
    <row r="145" customFormat="false" ht="102.95" hidden="false" customHeight="false" outlineLevel="0" collapsed="false">
      <c r="A145" s="8" t="s">
        <v>686</v>
      </c>
      <c r="B145" s="9" t="s">
        <v>99</v>
      </c>
      <c r="C145" s="9" t="s">
        <v>687</v>
      </c>
    </row>
    <row r="148" customFormat="false" ht="15" hidden="false" customHeight="false" outlineLevel="0" collapsed="false">
      <c r="A148" s="13" t="s">
        <v>688</v>
      </c>
    </row>
    <row r="149" customFormat="false" ht="15" hidden="false" customHeight="false" outlineLevel="0" collapsed="false">
      <c r="A149" s="2" t="s">
        <v>689</v>
      </c>
    </row>
    <row r="150" customFormat="false" ht="15" hidden="false" customHeight="false" outlineLevel="0" collapsed="false">
      <c r="A150" s="3" t="s">
        <v>493</v>
      </c>
      <c r="B150" s="3" t="s">
        <v>204</v>
      </c>
      <c r="C150" s="3" t="s">
        <v>398</v>
      </c>
      <c r="D150" s="3" t="s">
        <v>690</v>
      </c>
      <c r="E150" s="3" t="s">
        <v>691</v>
      </c>
    </row>
    <row r="151" customFormat="false" ht="64.9" hidden="false" customHeight="false" outlineLevel="0" collapsed="false">
      <c r="A151" s="8" t="s">
        <v>692</v>
      </c>
      <c r="B151" s="10" t="s">
        <v>620</v>
      </c>
      <c r="C151" s="10" t="s">
        <v>693</v>
      </c>
      <c r="D151" s="10" t="s">
        <v>694</v>
      </c>
      <c r="E151" s="9" t="s">
        <v>695</v>
      </c>
    </row>
    <row r="152" customFormat="false" ht="76.1" hidden="false" customHeight="false" outlineLevel="0" collapsed="false">
      <c r="A152" s="8" t="s">
        <v>11</v>
      </c>
      <c r="B152" s="9" t="s">
        <v>696</v>
      </c>
      <c r="C152" s="9" t="s">
        <v>697</v>
      </c>
      <c r="D152" s="10" t="s">
        <v>698</v>
      </c>
      <c r="E152" s="9" t="s">
        <v>699</v>
      </c>
    </row>
    <row r="153" customFormat="false" ht="64.9" hidden="false" customHeight="false" outlineLevel="0" collapsed="false">
      <c r="A153" s="8" t="s">
        <v>16</v>
      </c>
      <c r="B153" s="10" t="s">
        <v>700</v>
      </c>
      <c r="C153" s="9" t="s">
        <v>701</v>
      </c>
      <c r="D153" s="10" t="s">
        <v>702</v>
      </c>
      <c r="E153" s="9" t="s">
        <v>703</v>
      </c>
    </row>
    <row r="154" customFormat="false" ht="52.2" hidden="false" customHeight="false" outlineLevel="0" collapsed="false">
      <c r="A154" s="8" t="s">
        <v>15</v>
      </c>
      <c r="B154" s="9" t="s">
        <v>704</v>
      </c>
      <c r="C154" s="9" t="s">
        <v>705</v>
      </c>
      <c r="D154" s="9" t="s">
        <v>706</v>
      </c>
      <c r="E154" s="9" t="s">
        <v>707</v>
      </c>
    </row>
    <row r="155" customFormat="false" ht="50.7" hidden="false" customHeight="false" outlineLevel="0" collapsed="false">
      <c r="A155" s="8" t="s">
        <v>523</v>
      </c>
      <c r="B155" s="9" t="s">
        <v>708</v>
      </c>
      <c r="C155" s="10" t="s">
        <v>709</v>
      </c>
      <c r="D155" s="10" t="s">
        <v>710</v>
      </c>
      <c r="E155" s="9" t="s">
        <v>711</v>
      </c>
    </row>
    <row r="156" customFormat="false" ht="52.2" hidden="false" customHeight="false" outlineLevel="0" collapsed="false">
      <c r="A156" s="8" t="s">
        <v>4</v>
      </c>
      <c r="B156" s="9" t="s">
        <v>712</v>
      </c>
      <c r="C156" s="9" t="s">
        <v>713</v>
      </c>
      <c r="D156" s="10" t="s">
        <v>714</v>
      </c>
      <c r="E156" s="9" t="s">
        <v>715</v>
      </c>
    </row>
    <row r="157" customFormat="false" ht="64.9" hidden="false" customHeight="false" outlineLevel="0" collapsed="false">
      <c r="A157" s="8" t="s">
        <v>22</v>
      </c>
      <c r="B157" s="9" t="s">
        <v>716</v>
      </c>
      <c r="C157" s="9" t="s">
        <v>717</v>
      </c>
      <c r="D157" s="10" t="s">
        <v>702</v>
      </c>
      <c r="E157" s="9" t="s">
        <v>718</v>
      </c>
    </row>
    <row r="159" customFormat="false" ht="15" hidden="false" customHeight="false" outlineLevel="0" collapsed="false">
      <c r="A159" s="14" t="s">
        <v>719</v>
      </c>
    </row>
    <row r="160" customFormat="false" ht="15" hidden="false" customHeight="false" outlineLevel="0" collapsed="false">
      <c r="A160" s="13" t="s">
        <v>720</v>
      </c>
    </row>
    <row r="161" customFormat="false" ht="15" hidden="false" customHeight="false" outlineLevel="0" collapsed="false">
      <c r="A161" s="2" t="s">
        <v>721</v>
      </c>
    </row>
    <row r="162" customFormat="false" ht="15" hidden="false" customHeight="false" outlineLevel="0" collapsed="false">
      <c r="A162" s="3" t="s">
        <v>493</v>
      </c>
      <c r="B162" s="3" t="s">
        <v>275</v>
      </c>
      <c r="C162" s="3" t="s">
        <v>722</v>
      </c>
    </row>
    <row r="163" customFormat="false" ht="77.6" hidden="false" customHeight="false" outlineLevel="0" collapsed="false">
      <c r="A163" s="40" t="s">
        <v>523</v>
      </c>
      <c r="B163" s="16" t="s">
        <v>354</v>
      </c>
      <c r="C163" s="16" t="s">
        <v>723</v>
      </c>
    </row>
    <row r="164" customFormat="false" ht="39.55" hidden="false" customHeight="false" outlineLevel="0" collapsed="false">
      <c r="A164" s="40" t="s">
        <v>12</v>
      </c>
      <c r="B164" s="16" t="s">
        <v>354</v>
      </c>
      <c r="C164" s="16" t="s">
        <v>724</v>
      </c>
    </row>
    <row r="165" customFormat="false" ht="102.95" hidden="false" customHeight="false" outlineLevel="0" collapsed="false">
      <c r="A165" s="40" t="s">
        <v>14</v>
      </c>
      <c r="B165" s="16" t="s">
        <v>725</v>
      </c>
      <c r="C165" s="16" t="s">
        <v>726</v>
      </c>
    </row>
    <row r="166" customFormat="false" ht="153.7" hidden="false" customHeight="false" outlineLevel="0" collapsed="false">
      <c r="A166" s="40" t="s">
        <v>22</v>
      </c>
      <c r="B166" s="16" t="s">
        <v>725</v>
      </c>
      <c r="C166" s="16" t="s">
        <v>727</v>
      </c>
    </row>
    <row r="167" customFormat="false" ht="153.7" hidden="false" customHeight="false" outlineLevel="0" collapsed="false">
      <c r="A167" s="40" t="s">
        <v>9</v>
      </c>
      <c r="B167" s="16" t="s">
        <v>728</v>
      </c>
      <c r="C167" s="16" t="s">
        <v>729</v>
      </c>
    </row>
    <row r="168" customFormat="false" ht="88.8" hidden="false" customHeight="false" outlineLevel="0" collapsed="false">
      <c r="A168" s="8" t="s">
        <v>15</v>
      </c>
      <c r="B168" s="9" t="s">
        <v>276</v>
      </c>
      <c r="C168" s="9" t="s">
        <v>730</v>
      </c>
    </row>
    <row r="169" customFormat="false" ht="64.9" hidden="false" customHeight="false" outlineLevel="0" collapsed="false">
      <c r="A169" s="8" t="s">
        <v>4</v>
      </c>
      <c r="B169" s="9" t="s">
        <v>276</v>
      </c>
      <c r="C169" s="9" t="s">
        <v>731</v>
      </c>
    </row>
    <row r="170" customFormat="false" ht="39.55" hidden="false" customHeight="false" outlineLevel="0" collapsed="false">
      <c r="A170" s="8" t="s">
        <v>6</v>
      </c>
      <c r="B170" s="9" t="s">
        <v>276</v>
      </c>
      <c r="C170" s="9" t="s">
        <v>732</v>
      </c>
    </row>
    <row r="171" customFormat="false" ht="64.9" hidden="false" customHeight="false" outlineLevel="0" collapsed="false">
      <c r="A171" s="8" t="s">
        <v>11</v>
      </c>
      <c r="B171" s="9" t="s">
        <v>733</v>
      </c>
      <c r="C171" s="9" t="s">
        <v>734</v>
      </c>
    </row>
    <row r="172" customFormat="false" ht="26.85" hidden="false" customHeight="false" outlineLevel="0" collapsed="false">
      <c r="A172" s="8" t="s">
        <v>8</v>
      </c>
      <c r="B172" s="9" t="s">
        <v>735</v>
      </c>
      <c r="C172" s="9" t="s">
        <v>736</v>
      </c>
    </row>
    <row r="173" customFormat="false" ht="26.85" hidden="false" customHeight="false" outlineLevel="0" collapsed="false">
      <c r="A173" s="8" t="s">
        <v>10</v>
      </c>
      <c r="B173" s="9" t="s">
        <v>45</v>
      </c>
      <c r="C173" s="10" t="s">
        <v>737</v>
      </c>
    </row>
    <row r="174" customFormat="false" ht="52.2" hidden="false" customHeight="false" outlineLevel="0" collapsed="false">
      <c r="A174" s="8" t="s">
        <v>7</v>
      </c>
      <c r="B174" s="9" t="s">
        <v>45</v>
      </c>
      <c r="C174" s="9" t="s">
        <v>738</v>
      </c>
    </row>
    <row r="175" customFormat="false" ht="26.85" hidden="false" customHeight="false" outlineLevel="0" collapsed="false">
      <c r="A175" s="8" t="s">
        <v>13</v>
      </c>
      <c r="B175" s="9" t="s">
        <v>45</v>
      </c>
      <c r="C175" s="9" t="s">
        <v>739</v>
      </c>
    </row>
    <row r="178" customFormat="false" ht="15" hidden="false" customHeight="false" outlineLevel="0" collapsed="false">
      <c r="A178" s="13" t="s">
        <v>740</v>
      </c>
    </row>
    <row r="179" customFormat="false" ht="15" hidden="false" customHeight="false" outlineLevel="0" collapsed="false">
      <c r="A179" s="2" t="s">
        <v>741</v>
      </c>
    </row>
    <row r="180" customFormat="false" ht="15" hidden="false" customHeight="false" outlineLevel="0" collapsed="false">
      <c r="A180" s="3" t="s">
        <v>742</v>
      </c>
      <c r="B180" s="3" t="s">
        <v>743</v>
      </c>
      <c r="C180" s="3" t="s">
        <v>744</v>
      </c>
      <c r="D180" s="3" t="s">
        <v>745</v>
      </c>
      <c r="E180" s="3" t="s">
        <v>746</v>
      </c>
      <c r="F180" s="3" t="s">
        <v>747</v>
      </c>
      <c r="G180" s="3" t="s">
        <v>748</v>
      </c>
      <c r="H180" s="3" t="s">
        <v>749</v>
      </c>
    </row>
    <row r="181" customFormat="false" ht="15" hidden="false" customHeight="false" outlineLevel="0" collapsed="false">
      <c r="A181" s="41" t="s">
        <v>750</v>
      </c>
      <c r="B181" s="42" t="n">
        <v>250</v>
      </c>
      <c r="C181" s="42" t="n">
        <v>0</v>
      </c>
      <c r="D181" s="42" t="n">
        <v>250</v>
      </c>
      <c r="E181" s="42" t="n">
        <v>3000</v>
      </c>
      <c r="F181" s="42" t="n">
        <v>2760</v>
      </c>
      <c r="G181" s="43" t="n">
        <f aca="false">F181/B181</f>
        <v>11.04</v>
      </c>
      <c r="H181" s="43" t="n">
        <f aca="false">F181/D181</f>
        <v>11.04</v>
      </c>
    </row>
    <row r="182" customFormat="false" ht="15" hidden="false" customHeight="false" outlineLevel="0" collapsed="false">
      <c r="A182" s="41" t="s">
        <v>751</v>
      </c>
      <c r="B182" s="42" t="n">
        <v>500</v>
      </c>
      <c r="C182" s="42" t="n">
        <v>50</v>
      </c>
      <c r="D182" s="42" t="n">
        <v>550</v>
      </c>
      <c r="E182" s="42" t="n">
        <v>6600</v>
      </c>
      <c r="F182" s="42" t="n">
        <v>5520</v>
      </c>
      <c r="G182" s="43" t="n">
        <f aca="false">F182/B182</f>
        <v>11.04</v>
      </c>
      <c r="H182" s="43" t="n">
        <f aca="false">F182/D182</f>
        <v>10.0363636363636</v>
      </c>
    </row>
    <row r="183" customFormat="false" ht="15" hidden="false" customHeight="false" outlineLevel="0" collapsed="false">
      <c r="A183" s="41" t="s">
        <v>752</v>
      </c>
      <c r="B183" s="42" t="n">
        <v>1000</v>
      </c>
      <c r="C183" s="42" t="n">
        <v>100</v>
      </c>
      <c r="D183" s="42" t="n">
        <v>1100</v>
      </c>
      <c r="E183" s="42" t="n">
        <v>13200</v>
      </c>
      <c r="F183" s="42" t="n">
        <v>11040</v>
      </c>
      <c r="G183" s="43" t="n">
        <f aca="false">F183/B183</f>
        <v>11.04</v>
      </c>
      <c r="H183" s="43" t="n">
        <f aca="false">F183/D183</f>
        <v>10.0363636363636</v>
      </c>
    </row>
    <row r="184" customFormat="false" ht="15" hidden="false" customHeight="false" outlineLevel="0" collapsed="false">
      <c r="A184" s="41" t="s">
        <v>753</v>
      </c>
      <c r="B184" s="42" t="n">
        <v>2500</v>
      </c>
      <c r="C184" s="42" t="n">
        <v>300</v>
      </c>
      <c r="D184" s="42" t="n">
        <v>2800</v>
      </c>
      <c r="E184" s="42" t="n">
        <v>33600</v>
      </c>
      <c r="F184" s="42" t="n">
        <v>27600</v>
      </c>
      <c r="G184" s="43" t="n">
        <f aca="false">F184/B184</f>
        <v>11.04</v>
      </c>
      <c r="H184" s="43" t="n">
        <f aca="false">F184/D184</f>
        <v>9.85714285714286</v>
      </c>
    </row>
    <row r="185" customFormat="false" ht="15" hidden="false" customHeight="false" outlineLevel="0" collapsed="false">
      <c r="A185" s="41" t="s">
        <v>754</v>
      </c>
      <c r="B185" s="42" t="n">
        <v>5000</v>
      </c>
      <c r="C185" s="42" t="n">
        <v>700</v>
      </c>
      <c r="D185" s="42" t="n">
        <v>5700</v>
      </c>
      <c r="E185" s="42" t="n">
        <v>68400</v>
      </c>
      <c r="F185" s="42" t="n">
        <v>55200</v>
      </c>
      <c r="G185" s="43" t="n">
        <f aca="false">F185/B185</f>
        <v>11.04</v>
      </c>
      <c r="H185" s="43" t="n">
        <f aca="false">F185/D185</f>
        <v>9.68421052631579</v>
      </c>
    </row>
    <row r="186" customFormat="false" ht="25.35" hidden="false" customHeight="false" outlineLevel="0" collapsed="false">
      <c r="A186" s="41" t="s">
        <v>755</v>
      </c>
      <c r="B186" s="42" t="n">
        <v>10000</v>
      </c>
      <c r="C186" s="42" t="n">
        <v>1500</v>
      </c>
      <c r="D186" s="42" t="n">
        <v>11500</v>
      </c>
      <c r="E186" s="42" t="n">
        <v>138000</v>
      </c>
      <c r="F186" s="42" t="n">
        <v>110400</v>
      </c>
      <c r="G186" s="43" t="n">
        <f aca="false">F186/B186</f>
        <v>11.04</v>
      </c>
      <c r="H186" s="43" t="n">
        <f aca="false">F186/D186</f>
        <v>9.6</v>
      </c>
    </row>
    <row r="189" customFormat="false" ht="15" hidden="false" customHeight="false" outlineLevel="0" collapsed="false">
      <c r="A189" s="44" t="s">
        <v>756</v>
      </c>
    </row>
    <row r="190" customFormat="false" ht="15" hidden="false" customHeight="false" outlineLevel="0" collapsed="false">
      <c r="A190" s="17" t="s">
        <v>757</v>
      </c>
    </row>
    <row r="191" customFormat="false" ht="15" hidden="false" customHeight="false" outlineLevel="0" collapsed="false">
      <c r="A191" s="17" t="s">
        <v>758</v>
      </c>
    </row>
    <row r="192" customFormat="false" ht="15" hidden="false" customHeight="false" outlineLevel="0" collapsed="false">
      <c r="A192" s="17" t="s">
        <v>759</v>
      </c>
    </row>
    <row r="194" customFormat="false" ht="26.85" hidden="false" customHeight="false" outlineLevel="0" collapsed="false">
      <c r="A194" s="3" t="s">
        <v>760</v>
      </c>
      <c r="B194" s="3" t="s">
        <v>761</v>
      </c>
      <c r="C194" s="3" t="s">
        <v>762</v>
      </c>
      <c r="D194" s="3" t="s">
        <v>763</v>
      </c>
    </row>
    <row r="195" customFormat="false" ht="15" hidden="false" customHeight="false" outlineLevel="0" collapsed="false">
      <c r="A195" s="8" t="s">
        <v>764</v>
      </c>
      <c r="B195" s="45" t="n">
        <v>0.03</v>
      </c>
      <c r="C195" s="46" t="n">
        <f aca="false">B195*12/11.04</f>
        <v>0.0326086956521739</v>
      </c>
      <c r="D195" s="46" t="n">
        <f aca="false">B195*12/9.6</f>
        <v>0.0375</v>
      </c>
    </row>
    <row r="196" customFormat="false" ht="15" hidden="false" customHeight="false" outlineLevel="0" collapsed="false">
      <c r="A196" s="8" t="s">
        <v>765</v>
      </c>
      <c r="B196" s="45" t="n">
        <v>0.15</v>
      </c>
      <c r="C196" s="46" t="n">
        <f aca="false">B196*12/11.04</f>
        <v>0.16304347826087</v>
      </c>
      <c r="D196" s="46" t="n">
        <f aca="false">B196*12/9.6</f>
        <v>0.1875</v>
      </c>
    </row>
    <row r="197" customFormat="false" ht="49.25" hidden="false" customHeight="false" outlineLevel="0" collapsed="false">
      <c r="A197" s="8" t="s">
        <v>766</v>
      </c>
      <c r="B197" s="45" t="n">
        <v>0.2</v>
      </c>
      <c r="C197" s="46" t="n">
        <f aca="false">B197*12/11.04</f>
        <v>0.217391304347826</v>
      </c>
      <c r="D197" s="46" t="n">
        <f aca="false">B197*12/9.6</f>
        <v>0.25</v>
      </c>
    </row>
    <row r="198" customFormat="false" ht="49.25" hidden="false" customHeight="false" outlineLevel="0" collapsed="false">
      <c r="A198" s="8" t="s">
        <v>767</v>
      </c>
      <c r="B198" s="45" t="n">
        <v>0.22</v>
      </c>
      <c r="C198" s="46" t="n">
        <f aca="false">B198*12/11.04</f>
        <v>0.239130434782609</v>
      </c>
      <c r="D198" s="46" t="n">
        <f aca="false">B198*12/9.6</f>
        <v>0.275</v>
      </c>
    </row>
    <row r="200" customFormat="false" ht="15" hidden="false" customHeight="false" outlineLevel="0" collapsed="false">
      <c r="A200" s="14" t="s">
        <v>768</v>
      </c>
    </row>
    <row r="201" customFormat="false" ht="15" hidden="false" customHeight="false" outlineLevel="0" collapsed="false">
      <c r="A201" s="14" t="s">
        <v>769</v>
      </c>
    </row>
    <row r="203" customFormat="false" ht="15" hidden="false" customHeight="false" outlineLevel="0" collapsed="false">
      <c r="A203" s="13" t="s">
        <v>770</v>
      </c>
    </row>
    <row r="204" customFormat="false" ht="15" hidden="false" customHeight="false" outlineLevel="0" collapsed="false">
      <c r="A204" s="2" t="s">
        <v>771</v>
      </c>
    </row>
    <row r="205" customFormat="false" ht="15" hidden="false" customHeight="false" outlineLevel="0" collapsed="false">
      <c r="A205" s="13" t="s">
        <v>259</v>
      </c>
      <c r="B205" s="47" t="n">
        <v>0.855285665412248</v>
      </c>
      <c r="C205" s="2" t="s">
        <v>772</v>
      </c>
    </row>
    <row r="207" customFormat="false" ht="15" hidden="false" customHeight="false" outlineLevel="0" collapsed="false">
      <c r="A207" s="3" t="s">
        <v>203</v>
      </c>
      <c r="B207" s="3" t="s">
        <v>617</v>
      </c>
      <c r="C207" s="3" t="s">
        <v>773</v>
      </c>
      <c r="D207" s="3" t="s">
        <v>774</v>
      </c>
    </row>
    <row r="208" customFormat="false" ht="26.85" hidden="false" customHeight="false" outlineLevel="0" collapsed="false">
      <c r="A208" s="8" t="s">
        <v>775</v>
      </c>
      <c r="B208" s="45" t="n">
        <v>0.08</v>
      </c>
      <c r="C208" s="48" t="n">
        <f aca="false">B208</f>
        <v>0.08</v>
      </c>
      <c r="D208" s="48" t="n">
        <f aca="false">B208*$B$205</f>
        <v>0.0684228532329798</v>
      </c>
    </row>
    <row r="209" customFormat="false" ht="39.55" hidden="false" customHeight="false" outlineLevel="0" collapsed="false">
      <c r="A209" s="8" t="s">
        <v>776</v>
      </c>
      <c r="B209" s="45" t="n">
        <v>0.12</v>
      </c>
      <c r="C209" s="48" t="n">
        <f aca="false">B209</f>
        <v>0.12</v>
      </c>
      <c r="D209" s="48" t="n">
        <f aca="false">B209*$B$205</f>
        <v>0.10263427984947</v>
      </c>
    </row>
    <row r="210" customFormat="false" ht="15" hidden="false" customHeight="false" outlineLevel="0" collapsed="false">
      <c r="A210" s="8" t="s">
        <v>777</v>
      </c>
      <c r="B210" s="45" t="n">
        <v>0.8</v>
      </c>
      <c r="C210" s="48" t="n">
        <f aca="false">B210</f>
        <v>0.8</v>
      </c>
      <c r="D210" s="48" t="n">
        <f aca="false">B210*$B$205</f>
        <v>0.684228532329798</v>
      </c>
    </row>
    <row r="212" customFormat="false" ht="15" hidden="false" customHeight="false" outlineLevel="0" collapsed="false">
      <c r="A212" s="14" t="s">
        <v>778</v>
      </c>
    </row>
    <row r="213" customFormat="false" ht="15" hidden="false" customHeight="false" outlineLevel="0" collapsed="false">
      <c r="A213" s="14" t="s">
        <v>779</v>
      </c>
    </row>
    <row r="214" customFormat="false" ht="15" hidden="false" customHeight="false" outlineLevel="0" collapsed="false">
      <c r="A214" s="14" t="s">
        <v>780</v>
      </c>
    </row>
    <row r="216" customFormat="false" ht="15" hidden="false" customHeight="false" outlineLevel="0" collapsed="false">
      <c r="A216" s="13" t="s">
        <v>781</v>
      </c>
    </row>
    <row r="217" customFormat="false" ht="15" hidden="false" customHeight="false" outlineLevel="0" collapsed="false">
      <c r="A217" s="2" t="s">
        <v>782</v>
      </c>
    </row>
    <row r="218" customFormat="false" ht="15" hidden="false" customHeight="false" outlineLevel="0" collapsed="false">
      <c r="A218" s="3" t="s">
        <v>493</v>
      </c>
      <c r="B218" s="3" t="s">
        <v>783</v>
      </c>
      <c r="C218" s="3" t="s">
        <v>204</v>
      </c>
      <c r="D218" s="3" t="s">
        <v>784</v>
      </c>
      <c r="E218" s="3" t="s">
        <v>691</v>
      </c>
    </row>
    <row r="219" customFormat="false" ht="74.6" hidden="false" customHeight="false" outlineLevel="0" collapsed="false">
      <c r="A219" s="8" t="s">
        <v>18</v>
      </c>
      <c r="B219" s="10" t="s">
        <v>785</v>
      </c>
      <c r="C219" s="10" t="s">
        <v>786</v>
      </c>
      <c r="D219" s="9" t="s">
        <v>100</v>
      </c>
      <c r="E219" s="9" t="s">
        <v>787</v>
      </c>
    </row>
    <row r="220" customFormat="false" ht="64.9" hidden="false" customHeight="false" outlineLevel="0" collapsed="false">
      <c r="A220" s="8" t="s">
        <v>16</v>
      </c>
      <c r="B220" s="10" t="s">
        <v>788</v>
      </c>
      <c r="C220" s="10" t="s">
        <v>789</v>
      </c>
      <c r="D220" s="10" t="s">
        <v>790</v>
      </c>
      <c r="E220" s="9" t="s">
        <v>791</v>
      </c>
    </row>
    <row r="221" customFormat="false" ht="64.9" hidden="false" customHeight="false" outlineLevel="0" collapsed="false">
      <c r="A221" s="8" t="s">
        <v>15</v>
      </c>
      <c r="B221" s="10" t="s">
        <v>792</v>
      </c>
      <c r="C221" s="10" t="s">
        <v>793</v>
      </c>
      <c r="D221" s="10" t="s">
        <v>794</v>
      </c>
      <c r="E221" s="9" t="s">
        <v>795</v>
      </c>
    </row>
    <row r="222" customFormat="false" ht="64.9" hidden="false" customHeight="false" outlineLevel="0" collapsed="false">
      <c r="A222" s="8" t="s">
        <v>11</v>
      </c>
      <c r="B222" s="10" t="s">
        <v>796</v>
      </c>
      <c r="C222" s="9" t="s">
        <v>696</v>
      </c>
      <c r="D222" s="9" t="s">
        <v>797</v>
      </c>
      <c r="E222" s="9" t="s">
        <v>798</v>
      </c>
    </row>
    <row r="223" customFormat="false" ht="52.2" hidden="false" customHeight="false" outlineLevel="0" collapsed="false">
      <c r="A223" s="8" t="s">
        <v>17</v>
      </c>
      <c r="B223" s="9" t="s">
        <v>45</v>
      </c>
      <c r="C223" s="10" t="s">
        <v>799</v>
      </c>
      <c r="D223" s="9" t="s">
        <v>800</v>
      </c>
      <c r="E223" s="9" t="s">
        <v>801</v>
      </c>
    </row>
    <row r="225" customFormat="false" ht="15" hidden="false" customHeight="false" outlineLevel="0" collapsed="false">
      <c r="A225" s="14" t="s">
        <v>802</v>
      </c>
    </row>
    <row r="226" customFormat="false" ht="15" hidden="false" customHeight="false" outlineLevel="0" collapsed="false">
      <c r="A226" s="14" t="s">
        <v>803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804</v>
      </c>
    </row>
    <row r="3" customFormat="false" ht="15" hidden="false" customHeight="false" outlineLevel="0" collapsed="false">
      <c r="A3" s="49" t="s">
        <v>805</v>
      </c>
    </row>
    <row r="4" customFormat="false" ht="15" hidden="false" customHeight="false" outlineLevel="0" collapsed="false">
      <c r="A4" s="50" t="s">
        <v>806</v>
      </c>
    </row>
    <row r="5" customFormat="false" ht="15" hidden="false" customHeight="false" outlineLevel="0" collapsed="false">
      <c r="A5" s="13" t="s">
        <v>807</v>
      </c>
      <c r="B5" s="51" t="n">
        <v>10</v>
      </c>
      <c r="C5" s="50" t="s">
        <v>808</v>
      </c>
    </row>
    <row r="7" customFormat="false" ht="15" hidden="false" customHeight="false" outlineLevel="0" collapsed="false">
      <c r="A7" s="3" t="s">
        <v>3</v>
      </c>
      <c r="B7" s="3" t="s">
        <v>809</v>
      </c>
      <c r="C7" s="3" t="s">
        <v>810</v>
      </c>
      <c r="D7" s="3" t="s">
        <v>811</v>
      </c>
      <c r="E7" s="3" t="s">
        <v>812</v>
      </c>
      <c r="F7" s="3" t="s">
        <v>813</v>
      </c>
    </row>
    <row r="8" customFormat="false" ht="15" hidden="false" customHeight="false" outlineLevel="0" collapsed="false">
      <c r="A8" s="10" t="s">
        <v>814</v>
      </c>
      <c r="B8" s="52" t="n">
        <v>1</v>
      </c>
      <c r="C8" s="52" t="n">
        <v>2</v>
      </c>
      <c r="D8" s="52" t="n">
        <v>2</v>
      </c>
      <c r="E8" s="52" t="n">
        <v>3</v>
      </c>
      <c r="F8" s="52" t="n">
        <v>5</v>
      </c>
    </row>
    <row r="9" customFormat="false" ht="15" hidden="false" customHeight="false" outlineLevel="0" collapsed="false">
      <c r="A9" s="10" t="s">
        <v>815</v>
      </c>
      <c r="B9" s="42" t="n">
        <v>1000</v>
      </c>
      <c r="C9" s="42" t="n">
        <v>100000</v>
      </c>
      <c r="D9" s="42" t="n">
        <v>500000</v>
      </c>
      <c r="E9" s="42" t="n">
        <v>3000000</v>
      </c>
      <c r="F9" s="42" t="n">
        <v>5000000</v>
      </c>
    </row>
    <row r="10" customFormat="false" ht="15" hidden="false" customHeight="false" outlineLevel="0" collapsed="false">
      <c r="A10" s="10" t="s">
        <v>816</v>
      </c>
      <c r="B10" s="42" t="n">
        <v>10</v>
      </c>
      <c r="C10" s="42" t="n">
        <v>100</v>
      </c>
      <c r="D10" s="42" t="n">
        <v>200</v>
      </c>
      <c r="E10" s="42" t="n">
        <v>500</v>
      </c>
      <c r="F10" s="42" t="n">
        <v>1000</v>
      </c>
    </row>
    <row r="11" customFormat="false" ht="15" hidden="false" customHeight="false" outlineLevel="0" collapsed="false">
      <c r="A11" s="10" t="s">
        <v>817</v>
      </c>
      <c r="B11" s="53" t="n">
        <v>0.7</v>
      </c>
      <c r="C11" s="53" t="n">
        <v>0.75</v>
      </c>
      <c r="D11" s="53" t="n">
        <v>0.8</v>
      </c>
      <c r="E11" s="53" t="n">
        <v>0.85</v>
      </c>
      <c r="F11" s="53" t="n">
        <v>0.9</v>
      </c>
    </row>
    <row r="12" customFormat="false" ht="15" hidden="false" customHeight="false" outlineLevel="0" collapsed="false">
      <c r="A12" s="10" t="s">
        <v>818</v>
      </c>
      <c r="B12" s="53" t="n">
        <v>0.1</v>
      </c>
      <c r="C12" s="53" t="n">
        <v>0.1</v>
      </c>
      <c r="D12" s="53" t="n">
        <v>0.11</v>
      </c>
      <c r="E12" s="53" t="n">
        <v>0.12</v>
      </c>
      <c r="F12" s="53" t="n">
        <v>0.13</v>
      </c>
    </row>
    <row r="13" customFormat="false" ht="15" hidden="false" customHeight="false" outlineLevel="0" collapsed="false">
      <c r="A13" s="10" t="s">
        <v>819</v>
      </c>
      <c r="B13" s="53" t="n">
        <v>0.11</v>
      </c>
      <c r="C13" s="53" t="n">
        <v>0.11</v>
      </c>
      <c r="D13" s="53" t="n">
        <v>0.14</v>
      </c>
      <c r="E13" s="53" t="n">
        <v>0.17</v>
      </c>
      <c r="F13" s="53" t="n">
        <v>0.2</v>
      </c>
    </row>
    <row r="14" customFormat="false" ht="15" hidden="false" customHeight="false" outlineLevel="0" collapsed="false">
      <c r="A14" s="12" t="s">
        <v>820</v>
      </c>
      <c r="B14" s="54" t="n">
        <f aca="false">B12/$B$5</f>
        <v>0.01</v>
      </c>
      <c r="C14" s="54" t="n">
        <f aca="false">C12/$B$5</f>
        <v>0.01</v>
      </c>
      <c r="D14" s="54" t="n">
        <f aca="false">D12/$B$5</f>
        <v>0.011</v>
      </c>
      <c r="E14" s="54" t="n">
        <f aca="false">E12/$B$5</f>
        <v>0.012</v>
      </c>
      <c r="F14" s="54" t="n">
        <f aca="false">F12/$B$5</f>
        <v>0.013</v>
      </c>
    </row>
    <row r="15" customFormat="false" ht="15" hidden="false" customHeight="false" outlineLevel="0" collapsed="false">
      <c r="A15" s="12" t="s">
        <v>821</v>
      </c>
      <c r="B15" s="54" t="n">
        <f aca="false">B13/$B$5</f>
        <v>0.011</v>
      </c>
      <c r="C15" s="54" t="n">
        <f aca="false">C13/$B$5</f>
        <v>0.011</v>
      </c>
      <c r="D15" s="54" t="n">
        <f aca="false">D13/$B$5</f>
        <v>0.014</v>
      </c>
      <c r="E15" s="54" t="n">
        <f aca="false">E13/$B$5</f>
        <v>0.017</v>
      </c>
      <c r="F15" s="54" t="n">
        <f aca="false">F13/$B$5</f>
        <v>0.02</v>
      </c>
    </row>
    <row r="16" customFormat="false" ht="15" hidden="false" customHeight="false" outlineLevel="0" collapsed="false">
      <c r="A16" s="12" t="s">
        <v>822</v>
      </c>
      <c r="B16" s="54" t="n">
        <f aca="false">(B13+0.03)/$B$5</f>
        <v>0.014</v>
      </c>
      <c r="C16" s="54" t="n">
        <f aca="false">(C13+0.03)/$B$5</f>
        <v>0.014</v>
      </c>
      <c r="D16" s="54" t="n">
        <f aca="false">(D13+0.03)/$B$5</f>
        <v>0.017</v>
      </c>
      <c r="E16" s="54" t="n">
        <f aca="false">(E13+0.03)/$B$5</f>
        <v>0.02</v>
      </c>
      <c r="F16" s="54" t="n">
        <f aca="false">(F13+0.03)/$B$5</f>
        <v>0.023</v>
      </c>
    </row>
    <row r="17" customFormat="false" ht="15" hidden="false" customHeight="false" outlineLevel="0" collapsed="false">
      <c r="A17" s="10" t="s">
        <v>823</v>
      </c>
      <c r="B17" s="55" t="s">
        <v>410</v>
      </c>
      <c r="C17" s="55" t="n">
        <v>10000</v>
      </c>
      <c r="D17" s="55" t="n">
        <v>50000</v>
      </c>
      <c r="E17" s="55" t="n">
        <v>300000</v>
      </c>
      <c r="F17" s="55" t="n">
        <v>500000</v>
      </c>
    </row>
    <row r="20" customFormat="false" ht="15" hidden="false" customHeight="false" outlineLevel="0" collapsed="false">
      <c r="A20" s="13" t="s">
        <v>824</v>
      </c>
    </row>
    <row r="22" customFormat="false" ht="15" hidden="false" customHeight="false" outlineLevel="0" collapsed="false">
      <c r="A22" s="49" t="s">
        <v>825</v>
      </c>
    </row>
    <row r="23" customFormat="false" ht="15" hidden="false" customHeight="false" outlineLevel="0" collapsed="false">
      <c r="A23" s="2" t="s">
        <v>826</v>
      </c>
    </row>
    <row r="25" customFormat="false" ht="15" hidden="false" customHeight="false" outlineLevel="0" collapsed="false">
      <c r="A25" s="15" t="s">
        <v>3</v>
      </c>
      <c r="B25" s="15" t="s">
        <v>827</v>
      </c>
      <c r="C25" s="15" t="s">
        <v>828</v>
      </c>
      <c r="D25" s="15" t="s">
        <v>829</v>
      </c>
      <c r="E25" s="15" t="s">
        <v>830</v>
      </c>
      <c r="F25" s="15" t="s">
        <v>831</v>
      </c>
    </row>
    <row r="26" customFormat="false" ht="15" hidden="false" customHeight="false" outlineLevel="0" collapsed="false">
      <c r="A26" s="8" t="s">
        <v>832</v>
      </c>
      <c r="B26" s="56" t="s">
        <v>833</v>
      </c>
      <c r="C26" s="56" t="s">
        <v>833</v>
      </c>
      <c r="D26" s="56" t="s">
        <v>834</v>
      </c>
      <c r="E26" s="56" t="s">
        <v>835</v>
      </c>
      <c r="F26" s="56" t="s">
        <v>836</v>
      </c>
    </row>
    <row r="27" customFormat="false" ht="15" hidden="false" customHeight="false" outlineLevel="0" collapsed="false">
      <c r="A27" s="41" t="s">
        <v>837</v>
      </c>
      <c r="B27" s="42" t="n">
        <v>100000</v>
      </c>
      <c r="C27" s="42" t="n">
        <v>200000</v>
      </c>
      <c r="D27" s="42" t="n">
        <v>300000</v>
      </c>
      <c r="E27" s="42" t="n">
        <v>500000</v>
      </c>
      <c r="F27" s="42" t="n">
        <v>800000</v>
      </c>
    </row>
    <row r="28" customFormat="false" ht="15" hidden="false" customHeight="false" outlineLevel="0" collapsed="false">
      <c r="A28" s="41" t="s">
        <v>838</v>
      </c>
      <c r="B28" s="42" t="n">
        <v>1</v>
      </c>
      <c r="C28" s="42" t="n">
        <v>5</v>
      </c>
      <c r="D28" s="42" t="n">
        <v>5</v>
      </c>
      <c r="E28" s="42" t="n">
        <v>5</v>
      </c>
      <c r="F28" s="42" t="n">
        <v>10</v>
      </c>
    </row>
    <row r="29" customFormat="false" ht="15" hidden="false" customHeight="false" outlineLevel="0" collapsed="false">
      <c r="A29" s="41" t="s">
        <v>839</v>
      </c>
      <c r="B29" s="42" t="n">
        <v>50</v>
      </c>
      <c r="C29" s="42" t="n">
        <v>80</v>
      </c>
      <c r="D29" s="42" t="n">
        <v>100</v>
      </c>
      <c r="E29" s="42" t="n">
        <v>200</v>
      </c>
      <c r="F29" s="42" t="n">
        <v>300</v>
      </c>
    </row>
    <row r="30" customFormat="false" ht="15" hidden="false" customHeight="false" outlineLevel="0" collapsed="false">
      <c r="A30" s="41" t="s">
        <v>840</v>
      </c>
      <c r="B30" s="56" t="s">
        <v>410</v>
      </c>
      <c r="C30" s="42" t="n">
        <v>500000</v>
      </c>
      <c r="D30" s="42" t="n">
        <v>1500000</v>
      </c>
      <c r="E30" s="42" t="n">
        <v>3000000</v>
      </c>
      <c r="F30" s="42" t="n">
        <v>4000000</v>
      </c>
    </row>
    <row r="31" customFormat="false" ht="15" hidden="false" customHeight="false" outlineLevel="0" collapsed="false">
      <c r="A31" s="41" t="s">
        <v>841</v>
      </c>
      <c r="B31" s="56" t="s">
        <v>410</v>
      </c>
      <c r="C31" s="42" t="n">
        <v>100</v>
      </c>
      <c r="D31" s="42" t="n">
        <v>200</v>
      </c>
      <c r="E31" s="42" t="n">
        <v>500</v>
      </c>
      <c r="F31" s="42" t="n">
        <v>800</v>
      </c>
    </row>
    <row r="32" customFormat="false" ht="15" hidden="false" customHeight="false" outlineLevel="0" collapsed="false">
      <c r="A32" s="57" t="s">
        <v>842</v>
      </c>
      <c r="B32" s="58" t="n">
        <v>0.9</v>
      </c>
      <c r="C32" s="58" t="n">
        <v>0.95</v>
      </c>
      <c r="D32" s="58" t="n">
        <v>0.97</v>
      </c>
      <c r="E32" s="58" t="n">
        <v>0.97</v>
      </c>
      <c r="F32" s="58" t="n">
        <v>0.97</v>
      </c>
    </row>
    <row r="33" customFormat="false" ht="15" hidden="false" customHeight="false" outlineLevel="0" collapsed="false">
      <c r="A33" s="41" t="s">
        <v>843</v>
      </c>
      <c r="B33" s="59" t="s">
        <v>844</v>
      </c>
      <c r="C33" s="59" t="s">
        <v>845</v>
      </c>
      <c r="D33" s="59" t="s">
        <v>846</v>
      </c>
      <c r="E33" s="59" t="s">
        <v>847</v>
      </c>
      <c r="F33" s="59" t="s">
        <v>847</v>
      </c>
    </row>
    <row r="34" customFormat="false" ht="15" hidden="false" customHeight="false" outlineLevel="0" collapsed="false">
      <c r="A34" s="41" t="s">
        <v>848</v>
      </c>
      <c r="B34" s="56" t="s">
        <v>849</v>
      </c>
      <c r="C34" s="56" t="s">
        <v>849</v>
      </c>
      <c r="D34" s="56" t="s">
        <v>849</v>
      </c>
      <c r="E34" s="56" t="s">
        <v>849</v>
      </c>
      <c r="F34" s="56" t="s">
        <v>849</v>
      </c>
    </row>
    <row r="35" customFormat="false" ht="15" hidden="false" customHeight="false" outlineLevel="0" collapsed="false">
      <c r="A35" s="41" t="s">
        <v>850</v>
      </c>
      <c r="B35" s="59" t="s">
        <v>851</v>
      </c>
      <c r="C35" s="59" t="s">
        <v>851</v>
      </c>
      <c r="D35" s="59" t="s">
        <v>851</v>
      </c>
      <c r="E35" s="59" t="s">
        <v>852</v>
      </c>
      <c r="F35" s="59" t="s">
        <v>852</v>
      </c>
    </row>
    <row r="36" customFormat="false" ht="15" hidden="false" customHeight="false" outlineLevel="0" collapsed="false">
      <c r="A36" s="41" t="s">
        <v>853</v>
      </c>
      <c r="B36" s="59" t="s">
        <v>854</v>
      </c>
      <c r="C36" s="59" t="s">
        <v>854</v>
      </c>
      <c r="D36" s="59" t="s">
        <v>854</v>
      </c>
      <c r="E36" s="59" t="s">
        <v>855</v>
      </c>
      <c r="F36" s="59" t="s">
        <v>855</v>
      </c>
    </row>
    <row r="37" customFormat="false" ht="15" hidden="false" customHeight="false" outlineLevel="0" collapsed="false">
      <c r="A37" s="41" t="s">
        <v>856</v>
      </c>
      <c r="B37" s="56" t="s">
        <v>410</v>
      </c>
      <c r="C37" s="56" t="s">
        <v>410</v>
      </c>
      <c r="D37" s="56" t="s">
        <v>857</v>
      </c>
      <c r="E37" s="56" t="s">
        <v>858</v>
      </c>
      <c r="F37" s="56" t="s">
        <v>859</v>
      </c>
    </row>
    <row r="38" customFormat="false" ht="15" hidden="false" customHeight="false" outlineLevel="0" collapsed="false">
      <c r="A38" s="41" t="s">
        <v>860</v>
      </c>
      <c r="B38" s="56" t="s">
        <v>410</v>
      </c>
      <c r="C38" s="56" t="s">
        <v>410</v>
      </c>
      <c r="D38" s="59" t="s">
        <v>851</v>
      </c>
      <c r="E38" s="59" t="s">
        <v>851</v>
      </c>
      <c r="F38" s="59" t="s">
        <v>851</v>
      </c>
    </row>
    <row r="39" customFormat="false" ht="15" hidden="false" customHeight="false" outlineLevel="0" collapsed="false">
      <c r="A39" s="41" t="s">
        <v>861</v>
      </c>
      <c r="B39" s="56" t="s">
        <v>410</v>
      </c>
      <c r="C39" s="56" t="s">
        <v>862</v>
      </c>
      <c r="D39" s="56" t="s">
        <v>863</v>
      </c>
      <c r="E39" s="56" t="s">
        <v>864</v>
      </c>
      <c r="F39" s="56" t="s">
        <v>865</v>
      </c>
    </row>
    <row r="40" customFormat="false" ht="15" hidden="false" customHeight="false" outlineLevel="0" collapsed="false">
      <c r="A40" s="41" t="s">
        <v>866</v>
      </c>
      <c r="B40" s="56" t="s">
        <v>410</v>
      </c>
      <c r="C40" s="59" t="s">
        <v>867</v>
      </c>
      <c r="D40" s="59" t="s">
        <v>867</v>
      </c>
      <c r="E40" s="59" t="s">
        <v>851</v>
      </c>
      <c r="F40" s="59" t="s">
        <v>851</v>
      </c>
    </row>
    <row r="41" customFormat="false" ht="15" hidden="false" customHeight="false" outlineLevel="0" collapsed="false">
      <c r="A41" s="41" t="s">
        <v>868</v>
      </c>
      <c r="B41" s="56" t="s">
        <v>410</v>
      </c>
      <c r="C41" s="56" t="s">
        <v>410</v>
      </c>
      <c r="D41" s="56" t="s">
        <v>410</v>
      </c>
      <c r="E41" s="59" t="s">
        <v>851</v>
      </c>
      <c r="F41" s="59" t="s">
        <v>851</v>
      </c>
    </row>
    <row r="42" customFormat="false" ht="15" hidden="false" customHeight="false" outlineLevel="0" collapsed="false">
      <c r="A42" s="41" t="s">
        <v>869</v>
      </c>
      <c r="B42" s="56" t="s">
        <v>410</v>
      </c>
      <c r="C42" s="59" t="s">
        <v>851</v>
      </c>
      <c r="D42" s="59" t="s">
        <v>851</v>
      </c>
      <c r="E42" s="59" t="s">
        <v>851</v>
      </c>
      <c r="F42" s="59" t="s">
        <v>851</v>
      </c>
    </row>
    <row r="43" customFormat="false" ht="15" hidden="false" customHeight="false" outlineLevel="0" collapsed="false">
      <c r="A43" s="41" t="s">
        <v>870</v>
      </c>
      <c r="B43" s="56" t="s">
        <v>410</v>
      </c>
      <c r="C43" s="56" t="s">
        <v>410</v>
      </c>
      <c r="D43" s="59" t="s">
        <v>867</v>
      </c>
      <c r="E43" s="59" t="s">
        <v>871</v>
      </c>
      <c r="F43" s="59" t="s">
        <v>871</v>
      </c>
    </row>
    <row r="44" customFormat="false" ht="15" hidden="false" customHeight="false" outlineLevel="0" collapsed="false">
      <c r="A44" s="41" t="s">
        <v>872</v>
      </c>
      <c r="B44" s="56" t="s">
        <v>410</v>
      </c>
      <c r="C44" s="56" t="s">
        <v>410</v>
      </c>
      <c r="D44" s="59" t="s">
        <v>873</v>
      </c>
      <c r="E44" s="59" t="s">
        <v>852</v>
      </c>
      <c r="F44" s="59" t="s">
        <v>852</v>
      </c>
    </row>
    <row r="45" customFormat="false" ht="15" hidden="false" customHeight="false" outlineLevel="0" collapsed="false">
      <c r="A45" s="41" t="s">
        <v>874</v>
      </c>
      <c r="B45" s="56" t="s">
        <v>410</v>
      </c>
      <c r="C45" s="56" t="s">
        <v>410</v>
      </c>
      <c r="D45" s="56" t="s">
        <v>410</v>
      </c>
      <c r="E45" s="59" t="s">
        <v>875</v>
      </c>
      <c r="F45" s="59" t="s">
        <v>876</v>
      </c>
    </row>
    <row r="46" customFormat="false" ht="15" hidden="false" customHeight="false" outlineLevel="0" collapsed="false">
      <c r="A46" s="41" t="s">
        <v>877</v>
      </c>
      <c r="B46" s="56" t="s">
        <v>878</v>
      </c>
      <c r="C46" s="56" t="s">
        <v>878</v>
      </c>
      <c r="D46" s="56" t="s">
        <v>878</v>
      </c>
      <c r="E46" s="56" t="s">
        <v>878</v>
      </c>
      <c r="F46" s="56" t="s">
        <v>878</v>
      </c>
    </row>
    <row r="48" customFormat="false" ht="15" hidden="false" customHeight="false" outlineLevel="0" collapsed="false">
      <c r="A48" s="13" t="s">
        <v>879</v>
      </c>
    </row>
    <row r="49" customFormat="false" ht="15" hidden="false" customHeight="false" outlineLevel="0" collapsed="false">
      <c r="A49" s="17" t="s">
        <v>880</v>
      </c>
    </row>
    <row r="51" customFormat="false" ht="15" hidden="false" customHeight="false" outlineLevel="0" collapsed="false">
      <c r="A51" s="13" t="s">
        <v>881</v>
      </c>
    </row>
    <row r="52" customFormat="false" ht="15" hidden="false" customHeight="false" outlineLevel="0" collapsed="false">
      <c r="A52" s="14" t="s">
        <v>882</v>
      </c>
    </row>
    <row r="53" customFormat="false" ht="15" hidden="false" customHeight="false" outlineLevel="0" collapsed="false">
      <c r="A53" s="14" t="s">
        <v>883</v>
      </c>
    </row>
    <row r="54" customFormat="false" ht="15" hidden="false" customHeight="false" outlineLevel="0" collapsed="false">
      <c r="A54" s="14" t="s">
        <v>884</v>
      </c>
    </row>
    <row r="56" customFormat="false" ht="15" hidden="false" customHeight="false" outlineLevel="0" collapsed="false">
      <c r="A56" s="49" t="s">
        <v>885</v>
      </c>
    </row>
    <row r="57" customFormat="false" ht="15" hidden="false" customHeight="false" outlineLevel="0" collapsed="false">
      <c r="A57" s="2" t="s">
        <v>886</v>
      </c>
    </row>
    <row r="59" customFormat="false" ht="15" hidden="false" customHeight="false" outlineLevel="0" collapsed="false">
      <c r="A59" s="15" t="s">
        <v>3</v>
      </c>
      <c r="B59" s="15" t="s">
        <v>887</v>
      </c>
      <c r="C59" s="15" t="s">
        <v>888</v>
      </c>
      <c r="D59" s="15" t="s">
        <v>889</v>
      </c>
    </row>
    <row r="60" customFormat="false" ht="15" hidden="false" customHeight="false" outlineLevel="0" collapsed="false">
      <c r="A60" s="10" t="s">
        <v>890</v>
      </c>
      <c r="B60" s="35" t="s">
        <v>891</v>
      </c>
      <c r="C60" s="35" t="s">
        <v>892</v>
      </c>
      <c r="D60" s="35" t="s">
        <v>893</v>
      </c>
    </row>
    <row r="61" customFormat="false" ht="28.35" hidden="false" customHeight="false" outlineLevel="0" collapsed="false">
      <c r="A61" s="10" t="s">
        <v>894</v>
      </c>
      <c r="B61" s="35" t="s">
        <v>895</v>
      </c>
      <c r="C61" s="35" t="s">
        <v>896</v>
      </c>
      <c r="D61" s="35" t="s">
        <v>897</v>
      </c>
    </row>
    <row r="62" customFormat="false" ht="15" hidden="false" customHeight="false" outlineLevel="0" collapsed="false">
      <c r="A62" s="10" t="s">
        <v>898</v>
      </c>
      <c r="B62" s="35" t="s">
        <v>899</v>
      </c>
      <c r="C62" s="35" t="s">
        <v>900</v>
      </c>
      <c r="D62" s="35" t="s">
        <v>901</v>
      </c>
    </row>
    <row r="63" customFormat="false" ht="28.35" hidden="false" customHeight="false" outlineLevel="0" collapsed="false">
      <c r="A63" s="10" t="s">
        <v>902</v>
      </c>
      <c r="B63" s="60" t="s">
        <v>903</v>
      </c>
      <c r="C63" s="60" t="s">
        <v>904</v>
      </c>
      <c r="D63" s="60" t="s">
        <v>904</v>
      </c>
    </row>
    <row r="64" customFormat="false" ht="28.35" hidden="false" customHeight="false" outlineLevel="0" collapsed="false">
      <c r="A64" s="10" t="s">
        <v>905</v>
      </c>
      <c r="B64" s="60" t="s">
        <v>906</v>
      </c>
      <c r="C64" s="60" t="s">
        <v>906</v>
      </c>
      <c r="D64" s="60" t="s">
        <v>906</v>
      </c>
    </row>
    <row r="65" customFormat="false" ht="28.35" hidden="false" customHeight="false" outlineLevel="0" collapsed="false">
      <c r="A65" s="12" t="s">
        <v>907</v>
      </c>
      <c r="B65" s="61" t="s">
        <v>908</v>
      </c>
      <c r="C65" s="61" t="s">
        <v>909</v>
      </c>
      <c r="D65" s="61" t="s">
        <v>910</v>
      </c>
    </row>
    <row r="66" customFormat="false" ht="15" hidden="false" customHeight="false" outlineLevel="0" collapsed="false">
      <c r="A66" s="7" t="s">
        <v>911</v>
      </c>
      <c r="B66" s="62" t="s">
        <v>912</v>
      </c>
      <c r="C66" s="62" t="s">
        <v>276</v>
      </c>
      <c r="D66" s="62" t="s">
        <v>276</v>
      </c>
    </row>
    <row r="67" customFormat="false" ht="15" hidden="false" customHeight="false" outlineLevel="0" collapsed="false">
      <c r="A67" s="10" t="s">
        <v>913</v>
      </c>
      <c r="B67" s="60" t="s">
        <v>84</v>
      </c>
      <c r="C67" s="35" t="s">
        <v>914</v>
      </c>
      <c r="D67" s="35" t="s">
        <v>915</v>
      </c>
    </row>
    <row r="68" customFormat="false" ht="15" hidden="false" customHeight="false" outlineLevel="0" collapsed="false">
      <c r="A68" s="10" t="s">
        <v>916</v>
      </c>
      <c r="B68" s="35" t="s">
        <v>917</v>
      </c>
      <c r="C68" s="35" t="s">
        <v>918</v>
      </c>
      <c r="D68" s="35" t="s">
        <v>919</v>
      </c>
    </row>
    <row r="69" customFormat="false" ht="15" hidden="false" customHeight="false" outlineLevel="0" collapsed="false">
      <c r="A69" s="10" t="s">
        <v>920</v>
      </c>
      <c r="B69" s="35" t="s">
        <v>410</v>
      </c>
      <c r="C69" s="60" t="s">
        <v>921</v>
      </c>
      <c r="D69" s="60" t="s">
        <v>921</v>
      </c>
    </row>
    <row r="71" customFormat="false" ht="15" hidden="false" customHeight="false" outlineLevel="0" collapsed="false">
      <c r="A71" s="13" t="s">
        <v>922</v>
      </c>
    </row>
    <row r="72" customFormat="false" ht="15" hidden="false" customHeight="false" outlineLevel="0" collapsed="false">
      <c r="A72" s="14" t="s">
        <v>923</v>
      </c>
    </row>
    <row r="73" customFormat="false" ht="15" hidden="false" customHeight="false" outlineLevel="0" collapsed="false">
      <c r="A73" s="14" t="s">
        <v>924</v>
      </c>
    </row>
    <row r="74" customFormat="false" ht="15" hidden="false" customHeight="false" outlineLevel="0" collapsed="false">
      <c r="A74" s="14" t="s">
        <v>925</v>
      </c>
    </row>
    <row r="75" customFormat="false" ht="15" hidden="false" customHeight="false" outlineLevel="0" collapsed="false">
      <c r="A75" s="14" t="s">
        <v>926</v>
      </c>
    </row>
    <row r="77" customFormat="false" ht="15" hidden="false" customHeight="false" outlineLevel="0" collapsed="false">
      <c r="A77" s="44" t="s">
        <v>927</v>
      </c>
    </row>
    <row r="78" customFormat="false" ht="15" hidden="false" customHeight="false" outlineLevel="0" collapsed="false">
      <c r="A78" s="17" t="s">
        <v>928</v>
      </c>
    </row>
    <row r="79" customFormat="false" ht="15" hidden="false" customHeight="false" outlineLevel="0" collapsed="false">
      <c r="A79" s="14" t="s">
        <v>929</v>
      </c>
    </row>
    <row r="81" customFormat="false" ht="15" hidden="false" customHeight="false" outlineLevel="0" collapsed="false">
      <c r="A81" s="49" t="s">
        <v>930</v>
      </c>
    </row>
    <row r="82" customFormat="false" ht="15" hidden="false" customHeight="false" outlineLevel="0" collapsed="false">
      <c r="A82" s="2" t="s">
        <v>931</v>
      </c>
    </row>
    <row r="84" customFormat="false" ht="15" hidden="false" customHeight="false" outlineLevel="0" collapsed="false">
      <c r="A84" s="15" t="s">
        <v>3</v>
      </c>
      <c r="B84" s="15" t="s">
        <v>932</v>
      </c>
      <c r="C84" s="15" t="s">
        <v>933</v>
      </c>
      <c r="D84" s="15" t="s">
        <v>934</v>
      </c>
      <c r="E84" s="15" t="s">
        <v>935</v>
      </c>
      <c r="F84" s="15" t="s">
        <v>936</v>
      </c>
      <c r="G84" s="15" t="s">
        <v>937</v>
      </c>
      <c r="H84" s="15" t="s">
        <v>938</v>
      </c>
      <c r="I84" s="15" t="s">
        <v>939</v>
      </c>
      <c r="J84" s="15" t="s">
        <v>940</v>
      </c>
      <c r="K84" s="15" t="s">
        <v>941</v>
      </c>
    </row>
    <row r="85" customFormat="false" ht="15" hidden="false" customHeight="false" outlineLevel="0" collapsed="false">
      <c r="A85" s="41" t="s">
        <v>942</v>
      </c>
      <c r="B85" s="56" t="s">
        <v>943</v>
      </c>
      <c r="C85" s="59" t="s">
        <v>944</v>
      </c>
      <c r="D85" s="59" t="s">
        <v>945</v>
      </c>
      <c r="E85" s="59" t="s">
        <v>946</v>
      </c>
      <c r="F85" s="59" t="s">
        <v>947</v>
      </c>
      <c r="G85" s="59" t="s">
        <v>948</v>
      </c>
      <c r="H85" s="59" t="s">
        <v>949</v>
      </c>
      <c r="I85" s="59" t="s">
        <v>950</v>
      </c>
      <c r="J85" s="59" t="s">
        <v>951</v>
      </c>
      <c r="K85" s="59" t="s">
        <v>952</v>
      </c>
    </row>
    <row r="86" customFormat="false" ht="15" hidden="false" customHeight="false" outlineLevel="0" collapsed="false">
      <c r="A86" s="63" t="s">
        <v>953</v>
      </c>
      <c r="B86" s="64" t="n">
        <v>0.03</v>
      </c>
      <c r="C86" s="64" t="n">
        <v>0.04</v>
      </c>
      <c r="D86" s="64" t="n">
        <v>0.05</v>
      </c>
      <c r="E86" s="64" t="n">
        <v>0.06</v>
      </c>
      <c r="F86" s="64" t="n">
        <v>0.07</v>
      </c>
      <c r="G86" s="64" t="n">
        <v>0.08</v>
      </c>
      <c r="H86" s="64" t="n">
        <v>0.09</v>
      </c>
      <c r="I86" s="64" t="n">
        <v>0.1</v>
      </c>
      <c r="J86" s="64" t="n">
        <v>0.12</v>
      </c>
      <c r="K86" s="64" t="n">
        <v>0.15</v>
      </c>
    </row>
    <row r="87" customFormat="false" ht="15" hidden="false" customHeight="false" outlineLevel="0" collapsed="false">
      <c r="A87" s="41" t="s">
        <v>954</v>
      </c>
      <c r="B87" s="56" t="s">
        <v>410</v>
      </c>
      <c r="C87" s="56" t="s">
        <v>955</v>
      </c>
      <c r="D87" s="56" t="s">
        <v>956</v>
      </c>
      <c r="E87" s="56" t="s">
        <v>957</v>
      </c>
      <c r="F87" s="56" t="s">
        <v>958</v>
      </c>
      <c r="G87" s="56" t="s">
        <v>959</v>
      </c>
      <c r="H87" s="56" t="s">
        <v>960</v>
      </c>
      <c r="I87" s="56" t="s">
        <v>961</v>
      </c>
      <c r="J87" s="56" t="s">
        <v>962</v>
      </c>
      <c r="K87" s="56" t="s">
        <v>963</v>
      </c>
    </row>
    <row r="88" customFormat="false" ht="15" hidden="false" customHeight="false" outlineLevel="0" collapsed="false">
      <c r="A88" s="41" t="s">
        <v>964</v>
      </c>
      <c r="B88" s="56" t="s">
        <v>410</v>
      </c>
      <c r="C88" s="56" t="s">
        <v>965</v>
      </c>
      <c r="D88" s="56" t="s">
        <v>965</v>
      </c>
      <c r="E88" s="56" t="s">
        <v>966</v>
      </c>
      <c r="F88" s="56" t="s">
        <v>966</v>
      </c>
      <c r="G88" s="56" t="s">
        <v>966</v>
      </c>
      <c r="H88" s="56" t="s">
        <v>967</v>
      </c>
      <c r="I88" s="56" t="s">
        <v>967</v>
      </c>
      <c r="J88" s="56" t="s">
        <v>968</v>
      </c>
      <c r="K88" s="56" t="s">
        <v>969</v>
      </c>
    </row>
    <row r="89" customFormat="false" ht="15" hidden="false" customHeight="false" outlineLevel="0" collapsed="false">
      <c r="A89" s="41" t="s">
        <v>970</v>
      </c>
      <c r="B89" s="56" t="s">
        <v>410</v>
      </c>
      <c r="C89" s="59" t="s">
        <v>921</v>
      </c>
      <c r="D89" s="59" t="s">
        <v>921</v>
      </c>
      <c r="E89" s="59" t="s">
        <v>921</v>
      </c>
      <c r="F89" s="59" t="s">
        <v>921</v>
      </c>
      <c r="G89" s="59" t="s">
        <v>921</v>
      </c>
      <c r="H89" s="59" t="s">
        <v>921</v>
      </c>
      <c r="I89" s="59" t="s">
        <v>921</v>
      </c>
      <c r="J89" s="59" t="s">
        <v>921</v>
      </c>
      <c r="K89" s="59" t="s">
        <v>921</v>
      </c>
    </row>
    <row r="91" customFormat="false" ht="15" hidden="false" customHeight="false" outlineLevel="0" collapsed="false">
      <c r="A91" s="13" t="s">
        <v>971</v>
      </c>
    </row>
    <row r="92" customFormat="false" ht="15" hidden="false" customHeight="false" outlineLevel="0" collapsed="false">
      <c r="A92" s="14" t="s">
        <v>972</v>
      </c>
    </row>
    <row r="93" customFormat="false" ht="15" hidden="false" customHeight="false" outlineLevel="0" collapsed="false">
      <c r="A93" s="14" t="s">
        <v>973</v>
      </c>
    </row>
    <row r="95" customFormat="false" ht="15" hidden="false" customHeight="false" outlineLevel="0" collapsed="false">
      <c r="A95" s="13" t="s">
        <v>974</v>
      </c>
    </row>
    <row r="96" customFormat="false" ht="15" hidden="false" customHeight="false" outlineLevel="0" collapsed="false">
      <c r="A96" s="14" t="s">
        <v>975</v>
      </c>
    </row>
    <row r="97" customFormat="false" ht="15" hidden="false" customHeight="false" outlineLevel="0" collapsed="false">
      <c r="A97" s="14" t="s">
        <v>976</v>
      </c>
    </row>
    <row r="98" customFormat="false" ht="15" hidden="false" customHeight="false" outlineLevel="0" collapsed="false">
      <c r="A98" s="14" t="s">
        <v>977</v>
      </c>
    </row>
    <row r="99" customFormat="false" ht="15" hidden="false" customHeight="false" outlineLevel="0" collapsed="false">
      <c r="A99" s="14" t="s">
        <v>978</v>
      </c>
    </row>
    <row r="100" customFormat="false" ht="15" hidden="false" customHeight="false" outlineLevel="0" collapsed="false">
      <c r="A100" s="39" t="s">
        <v>979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980</v>
      </c>
    </row>
    <row r="3" customFormat="false" ht="15" hidden="false" customHeight="false" outlineLevel="0" collapsed="false">
      <c r="A3" s="49" t="s">
        <v>981</v>
      </c>
    </row>
    <row r="5" customFormat="false" ht="15" hidden="false" customHeight="false" outlineLevel="0" collapsed="false">
      <c r="A5" s="3" t="s">
        <v>493</v>
      </c>
      <c r="B5" s="3" t="s">
        <v>982</v>
      </c>
      <c r="C5" s="3" t="s">
        <v>983</v>
      </c>
      <c r="D5" s="3" t="s">
        <v>984</v>
      </c>
    </row>
    <row r="6" customFormat="false" ht="64.9" hidden="false" customHeight="false" outlineLevel="0" collapsed="false">
      <c r="A6" s="8" t="s">
        <v>4</v>
      </c>
      <c r="B6" s="9" t="s">
        <v>985</v>
      </c>
      <c r="C6" s="10" t="s">
        <v>986</v>
      </c>
      <c r="D6" s="10" t="s">
        <v>987</v>
      </c>
    </row>
    <row r="7" customFormat="false" ht="63.4" hidden="false" customHeight="false" outlineLevel="0" collapsed="false">
      <c r="A7" s="8" t="s">
        <v>988</v>
      </c>
      <c r="B7" s="10" t="s">
        <v>989</v>
      </c>
      <c r="C7" s="10" t="s">
        <v>990</v>
      </c>
      <c r="D7" s="10" t="s">
        <v>987</v>
      </c>
    </row>
    <row r="8" customFormat="false" ht="102.95" hidden="false" customHeight="false" outlineLevel="0" collapsed="false">
      <c r="A8" s="8" t="s">
        <v>991</v>
      </c>
      <c r="B8" s="9" t="s">
        <v>992</v>
      </c>
      <c r="C8" s="9" t="s">
        <v>993</v>
      </c>
      <c r="D8" s="10" t="s">
        <v>987</v>
      </c>
    </row>
    <row r="9" customFormat="false" ht="52.2" hidden="false" customHeight="false" outlineLevel="0" collapsed="false">
      <c r="A9" s="8" t="s">
        <v>6</v>
      </c>
      <c r="B9" s="9" t="s">
        <v>994</v>
      </c>
      <c r="C9" s="10" t="s">
        <v>995</v>
      </c>
      <c r="D9" s="10" t="s">
        <v>987</v>
      </c>
    </row>
    <row r="10" customFormat="false" ht="52.2" hidden="false" customHeight="false" outlineLevel="0" collapsed="false">
      <c r="A10" s="8" t="s">
        <v>7</v>
      </c>
      <c r="B10" s="9" t="s">
        <v>996</v>
      </c>
      <c r="C10" s="9" t="s">
        <v>997</v>
      </c>
      <c r="D10" s="10" t="s">
        <v>987</v>
      </c>
    </row>
    <row r="11" customFormat="false" ht="39.55" hidden="false" customHeight="false" outlineLevel="0" collapsed="false">
      <c r="A11" s="8" t="s">
        <v>8</v>
      </c>
      <c r="B11" s="9" t="s">
        <v>998</v>
      </c>
      <c r="C11" s="9" t="s">
        <v>999</v>
      </c>
      <c r="D11" s="10" t="s">
        <v>987</v>
      </c>
    </row>
    <row r="12" customFormat="false" ht="52.2" hidden="false" customHeight="false" outlineLevel="0" collapsed="false">
      <c r="A12" s="8" t="s">
        <v>9</v>
      </c>
      <c r="B12" s="9" t="s">
        <v>1000</v>
      </c>
      <c r="C12" s="9" t="s">
        <v>1001</v>
      </c>
      <c r="D12" s="10" t="s">
        <v>987</v>
      </c>
    </row>
    <row r="13" customFormat="false" ht="50.7" hidden="false" customHeight="false" outlineLevel="0" collapsed="false">
      <c r="A13" s="8" t="s">
        <v>10</v>
      </c>
      <c r="B13" s="9" t="s">
        <v>1002</v>
      </c>
      <c r="C13" s="9" t="s">
        <v>1001</v>
      </c>
      <c r="D13" s="10" t="s">
        <v>987</v>
      </c>
    </row>
    <row r="14" customFormat="false" ht="102.95" hidden="false" customHeight="false" outlineLevel="0" collapsed="false">
      <c r="A14" s="8" t="s">
        <v>11</v>
      </c>
      <c r="B14" s="9" t="s">
        <v>1003</v>
      </c>
      <c r="C14" s="10" t="s">
        <v>1004</v>
      </c>
      <c r="D14" s="10" t="s">
        <v>987</v>
      </c>
    </row>
    <row r="15" customFormat="false" ht="39.55" hidden="false" customHeight="false" outlineLevel="0" collapsed="false">
      <c r="A15" s="8" t="s">
        <v>12</v>
      </c>
      <c r="B15" s="9" t="s">
        <v>1005</v>
      </c>
      <c r="C15" s="9" t="s">
        <v>1006</v>
      </c>
      <c r="D15" s="10" t="s">
        <v>987</v>
      </c>
    </row>
    <row r="16" customFormat="false" ht="26.85" hidden="false" customHeight="false" outlineLevel="0" collapsed="false">
      <c r="A16" s="8" t="s">
        <v>13</v>
      </c>
      <c r="B16" s="9" t="s">
        <v>1007</v>
      </c>
      <c r="C16" s="9" t="s">
        <v>1008</v>
      </c>
      <c r="D16" s="10" t="s">
        <v>987</v>
      </c>
    </row>
    <row r="17" customFormat="false" ht="77.6" hidden="false" customHeight="false" outlineLevel="0" collapsed="false">
      <c r="A17" s="8" t="s">
        <v>14</v>
      </c>
      <c r="B17" s="10" t="s">
        <v>1009</v>
      </c>
      <c r="C17" s="9" t="s">
        <v>1001</v>
      </c>
      <c r="D17" s="10" t="s">
        <v>987</v>
      </c>
    </row>
    <row r="18" customFormat="false" ht="90.25" hidden="false" customHeight="false" outlineLevel="0" collapsed="false">
      <c r="A18" s="8" t="s">
        <v>15</v>
      </c>
      <c r="B18" s="9" t="s">
        <v>1010</v>
      </c>
      <c r="C18" s="9" t="s">
        <v>997</v>
      </c>
      <c r="D18" s="10" t="s">
        <v>987</v>
      </c>
    </row>
    <row r="19" customFormat="false" ht="39.55" hidden="false" customHeight="false" outlineLevel="0" collapsed="false">
      <c r="A19" s="8" t="s">
        <v>16</v>
      </c>
      <c r="B19" s="9" t="s">
        <v>1011</v>
      </c>
      <c r="C19" s="9" t="s">
        <v>1012</v>
      </c>
      <c r="D19" s="10" t="s">
        <v>987</v>
      </c>
    </row>
    <row r="20" customFormat="false" ht="39.55" hidden="false" customHeight="false" outlineLevel="0" collapsed="false">
      <c r="A20" s="8" t="s">
        <v>17</v>
      </c>
      <c r="B20" s="10" t="s">
        <v>1013</v>
      </c>
      <c r="C20" s="9" t="s">
        <v>1001</v>
      </c>
      <c r="D20" s="10" t="s">
        <v>987</v>
      </c>
    </row>
    <row r="21" customFormat="false" ht="15" hidden="false" customHeight="false" outlineLevel="0" collapsed="false">
      <c r="A21" s="8" t="s">
        <v>18</v>
      </c>
      <c r="B21" s="9" t="s">
        <v>1014</v>
      </c>
      <c r="C21" s="9" t="s">
        <v>1001</v>
      </c>
      <c r="D21" s="10" t="s">
        <v>987</v>
      </c>
    </row>
    <row r="22" customFormat="false" ht="15" hidden="false" customHeight="false" outlineLevel="0" collapsed="false">
      <c r="A22" s="8" t="s">
        <v>19</v>
      </c>
      <c r="B22" s="9" t="s">
        <v>1015</v>
      </c>
      <c r="C22" s="9" t="s">
        <v>1001</v>
      </c>
      <c r="D22" s="10" t="s">
        <v>987</v>
      </c>
    </row>
    <row r="23" customFormat="false" ht="26.85" hidden="false" customHeight="false" outlineLevel="0" collapsed="false">
      <c r="A23" s="8" t="s">
        <v>20</v>
      </c>
      <c r="B23" s="10" t="s">
        <v>1016</v>
      </c>
      <c r="C23" s="9" t="s">
        <v>1001</v>
      </c>
      <c r="D23" s="10" t="s">
        <v>987</v>
      </c>
    </row>
    <row r="24" customFormat="false" ht="39.55" hidden="false" customHeight="false" outlineLevel="0" collapsed="false">
      <c r="A24" s="8" t="s">
        <v>692</v>
      </c>
      <c r="B24" s="9" t="s">
        <v>1017</v>
      </c>
      <c r="C24" s="10" t="s">
        <v>1018</v>
      </c>
      <c r="D24" s="10" t="s">
        <v>987</v>
      </c>
    </row>
    <row r="25" customFormat="false" ht="64.9" hidden="false" customHeight="false" outlineLevel="0" collapsed="false">
      <c r="A25" s="8" t="s">
        <v>22</v>
      </c>
      <c r="B25" s="10" t="s">
        <v>1019</v>
      </c>
      <c r="C25" s="9" t="s">
        <v>1001</v>
      </c>
      <c r="D25" s="10" t="s">
        <v>987</v>
      </c>
    </row>
    <row r="27" customFormat="false" ht="15" hidden="false" customHeight="false" outlineLevel="0" collapsed="false">
      <c r="A27" s="49" t="s">
        <v>1020</v>
      </c>
    </row>
    <row r="28" customFormat="false" ht="15" hidden="false" customHeight="false" outlineLevel="0" collapsed="false">
      <c r="A28" s="3" t="s">
        <v>1021</v>
      </c>
      <c r="B28" s="3" t="s">
        <v>493</v>
      </c>
      <c r="C28" s="3" t="s">
        <v>675</v>
      </c>
      <c r="D28" s="3" t="s">
        <v>1022</v>
      </c>
    </row>
    <row r="29" customFormat="false" ht="25.35" hidden="false" customHeight="false" outlineLevel="0" collapsed="false">
      <c r="A29" s="65" t="s">
        <v>1023</v>
      </c>
      <c r="B29" s="65" t="s">
        <v>523</v>
      </c>
      <c r="C29" s="11" t="s">
        <v>1024</v>
      </c>
      <c r="D29" s="11" t="s">
        <v>1025</v>
      </c>
    </row>
    <row r="30" customFormat="false" ht="26.85" hidden="false" customHeight="false" outlineLevel="0" collapsed="false">
      <c r="A30" s="65" t="s">
        <v>1023</v>
      </c>
      <c r="B30" s="65" t="s">
        <v>4</v>
      </c>
      <c r="C30" s="11" t="s">
        <v>1026</v>
      </c>
      <c r="D30" s="11" t="s">
        <v>1027</v>
      </c>
    </row>
    <row r="31" customFormat="false" ht="15" hidden="false" customHeight="false" outlineLevel="0" collapsed="false">
      <c r="A31" s="65" t="s">
        <v>1028</v>
      </c>
      <c r="B31" s="65" t="s">
        <v>6</v>
      </c>
      <c r="C31" s="12" t="s">
        <v>1029</v>
      </c>
      <c r="D31" s="12" t="s">
        <v>1030</v>
      </c>
    </row>
    <row r="32" customFormat="false" ht="15" hidden="false" customHeight="false" outlineLevel="0" collapsed="false">
      <c r="A32" s="8" t="s">
        <v>1031</v>
      </c>
      <c r="B32" s="8" t="s">
        <v>523</v>
      </c>
      <c r="C32" s="9" t="s">
        <v>1032</v>
      </c>
      <c r="D32" s="9" t="s">
        <v>1033</v>
      </c>
    </row>
    <row r="33" customFormat="false" ht="15" hidden="false" customHeight="false" outlineLevel="0" collapsed="false">
      <c r="A33" s="8" t="s">
        <v>1031</v>
      </c>
      <c r="B33" s="8" t="s">
        <v>4</v>
      </c>
      <c r="C33" s="10" t="s">
        <v>1034</v>
      </c>
      <c r="D33" s="9" t="s">
        <v>1035</v>
      </c>
    </row>
    <row r="34" customFormat="false" ht="26.85" hidden="false" customHeight="false" outlineLevel="0" collapsed="false">
      <c r="A34" s="8" t="s">
        <v>1036</v>
      </c>
      <c r="B34" s="8" t="s">
        <v>4</v>
      </c>
      <c r="C34" s="9" t="s">
        <v>1037</v>
      </c>
      <c r="D34" s="9" t="s">
        <v>1038</v>
      </c>
    </row>
    <row r="35" customFormat="false" ht="26.85" hidden="false" customHeight="false" outlineLevel="0" collapsed="false">
      <c r="A35" s="8" t="s">
        <v>1036</v>
      </c>
      <c r="B35" s="8" t="s">
        <v>4</v>
      </c>
      <c r="C35" s="10" t="s">
        <v>1039</v>
      </c>
      <c r="D35" s="9" t="s">
        <v>1040</v>
      </c>
    </row>
    <row r="36" customFormat="false" ht="39.55" hidden="false" customHeight="false" outlineLevel="0" collapsed="false">
      <c r="A36" s="65" t="s">
        <v>1023</v>
      </c>
      <c r="B36" s="65" t="s">
        <v>14</v>
      </c>
      <c r="C36" s="11" t="s">
        <v>1041</v>
      </c>
      <c r="D36" s="11" t="s">
        <v>1042</v>
      </c>
    </row>
    <row r="37" customFormat="false" ht="15" hidden="false" customHeight="false" outlineLevel="0" collapsed="false">
      <c r="A37" s="8" t="s">
        <v>1043</v>
      </c>
      <c r="B37" s="8" t="s">
        <v>14</v>
      </c>
      <c r="C37" s="9" t="s">
        <v>1044</v>
      </c>
      <c r="D37" s="9" t="s">
        <v>1045</v>
      </c>
    </row>
    <row r="38" customFormat="false" ht="15" hidden="false" customHeight="false" outlineLevel="0" collapsed="false">
      <c r="A38" s="8" t="s">
        <v>1036</v>
      </c>
      <c r="B38" s="8" t="s">
        <v>7</v>
      </c>
      <c r="C38" s="9" t="s">
        <v>1046</v>
      </c>
      <c r="D38" s="10" t="s">
        <v>1047</v>
      </c>
    </row>
    <row r="39" customFormat="false" ht="15" hidden="false" customHeight="false" outlineLevel="0" collapsed="false">
      <c r="A39" s="8" t="s">
        <v>1048</v>
      </c>
      <c r="B39" s="8" t="s">
        <v>9</v>
      </c>
      <c r="C39" s="10" t="s">
        <v>1049</v>
      </c>
      <c r="D39" s="9" t="s">
        <v>1050</v>
      </c>
    </row>
    <row r="40" customFormat="false" ht="26.85" hidden="false" customHeight="false" outlineLevel="0" collapsed="false">
      <c r="A40" s="8" t="s">
        <v>1048</v>
      </c>
      <c r="B40" s="8" t="s">
        <v>991</v>
      </c>
      <c r="C40" s="9" t="s">
        <v>1051</v>
      </c>
      <c r="D40" s="9" t="s">
        <v>1052</v>
      </c>
    </row>
    <row r="41" customFormat="false" ht="26.85" hidden="false" customHeight="false" outlineLevel="0" collapsed="false">
      <c r="A41" s="8" t="s">
        <v>1043</v>
      </c>
      <c r="B41" s="8" t="s">
        <v>9</v>
      </c>
      <c r="C41" s="9" t="s">
        <v>1053</v>
      </c>
      <c r="D41" s="9" t="s">
        <v>1054</v>
      </c>
    </row>
    <row r="42" customFormat="false" ht="15" hidden="false" customHeight="false" outlineLevel="0" collapsed="false">
      <c r="A42" s="8" t="s">
        <v>1043</v>
      </c>
      <c r="B42" s="8" t="s">
        <v>8</v>
      </c>
      <c r="C42" s="9" t="s">
        <v>1055</v>
      </c>
      <c r="D42" s="9" t="s">
        <v>1056</v>
      </c>
    </row>
    <row r="44" customFormat="false" ht="15" hidden="false" customHeight="false" outlineLevel="0" collapsed="false">
      <c r="A44" s="49" t="s">
        <v>1057</v>
      </c>
    </row>
    <row r="45" customFormat="false" ht="15" hidden="false" customHeight="false" outlineLevel="0" collapsed="false">
      <c r="A45" s="3" t="s">
        <v>1058</v>
      </c>
      <c r="B45" s="3" t="s">
        <v>493</v>
      </c>
      <c r="C45" s="3" t="s">
        <v>1059</v>
      </c>
      <c r="D45" s="3" t="s">
        <v>1060</v>
      </c>
    </row>
    <row r="46" customFormat="false" ht="26.85" hidden="false" customHeight="false" outlineLevel="0" collapsed="false">
      <c r="A46" s="41" t="s">
        <v>1061</v>
      </c>
      <c r="B46" s="8" t="s">
        <v>523</v>
      </c>
      <c r="C46" s="10" t="s">
        <v>1062</v>
      </c>
      <c r="D46" s="10" t="s">
        <v>1063</v>
      </c>
    </row>
    <row r="47" customFormat="false" ht="15" hidden="false" customHeight="false" outlineLevel="0" collapsed="false">
      <c r="A47" s="41" t="s">
        <v>1061</v>
      </c>
      <c r="B47" s="8" t="s">
        <v>7</v>
      </c>
      <c r="C47" s="9" t="s">
        <v>1064</v>
      </c>
      <c r="D47" s="9" t="s">
        <v>1065</v>
      </c>
    </row>
    <row r="48" customFormat="false" ht="15" hidden="false" customHeight="false" outlineLevel="0" collapsed="false">
      <c r="A48" s="41" t="s">
        <v>1066</v>
      </c>
      <c r="B48" s="8" t="s">
        <v>4</v>
      </c>
      <c r="C48" s="9" t="s">
        <v>1067</v>
      </c>
      <c r="D48" s="9" t="s">
        <v>1068</v>
      </c>
    </row>
    <row r="49" customFormat="false" ht="15" hidden="false" customHeight="false" outlineLevel="0" collapsed="false">
      <c r="A49" s="41" t="s">
        <v>1066</v>
      </c>
      <c r="B49" s="8" t="s">
        <v>523</v>
      </c>
      <c r="C49" s="9" t="s">
        <v>1069</v>
      </c>
      <c r="D49" s="9" t="s">
        <v>1070</v>
      </c>
    </row>
    <row r="50" customFormat="false" ht="15" hidden="false" customHeight="false" outlineLevel="0" collapsed="false">
      <c r="A50" s="41" t="s">
        <v>1066</v>
      </c>
      <c r="B50" s="8" t="s">
        <v>6</v>
      </c>
      <c r="C50" s="9" t="s">
        <v>1071</v>
      </c>
      <c r="D50" s="9" t="s">
        <v>1068</v>
      </c>
    </row>
    <row r="51" customFormat="false" ht="15" hidden="false" customHeight="false" outlineLevel="0" collapsed="false">
      <c r="A51" s="41" t="s">
        <v>1066</v>
      </c>
      <c r="B51" s="8" t="s">
        <v>7</v>
      </c>
      <c r="C51" s="9" t="s">
        <v>1072</v>
      </c>
      <c r="D51" s="9" t="s">
        <v>1073</v>
      </c>
    </row>
    <row r="52" customFormat="false" ht="15" hidden="false" customHeight="false" outlineLevel="0" collapsed="false">
      <c r="A52" s="41" t="s">
        <v>1074</v>
      </c>
      <c r="B52" s="8" t="s">
        <v>523</v>
      </c>
      <c r="C52" s="9" t="s">
        <v>1075</v>
      </c>
      <c r="D52" s="10" t="s">
        <v>1076</v>
      </c>
    </row>
    <row r="53" customFormat="false" ht="15" hidden="false" customHeight="false" outlineLevel="0" collapsed="false">
      <c r="A53" s="41" t="s">
        <v>1074</v>
      </c>
      <c r="B53" s="8" t="s">
        <v>6</v>
      </c>
      <c r="C53" s="9" t="s">
        <v>1077</v>
      </c>
      <c r="D53" s="10" t="s">
        <v>1078</v>
      </c>
    </row>
    <row r="54" customFormat="false" ht="15" hidden="false" customHeight="false" outlineLevel="0" collapsed="false">
      <c r="A54" s="41" t="s">
        <v>1074</v>
      </c>
      <c r="B54" s="8" t="s">
        <v>4</v>
      </c>
      <c r="C54" s="9" t="s">
        <v>1079</v>
      </c>
      <c r="D54" s="9" t="s">
        <v>1080</v>
      </c>
    </row>
    <row r="55" customFormat="false" ht="15" hidden="false" customHeight="false" outlineLevel="0" collapsed="false">
      <c r="A55" s="41" t="s">
        <v>1074</v>
      </c>
      <c r="B55" s="8" t="s">
        <v>7</v>
      </c>
      <c r="C55" s="9" t="s">
        <v>1081</v>
      </c>
      <c r="D55" s="9" t="s">
        <v>1082</v>
      </c>
    </row>
    <row r="56" customFormat="false" ht="15" hidden="false" customHeight="false" outlineLevel="0" collapsed="false">
      <c r="A56" s="41" t="s">
        <v>1083</v>
      </c>
      <c r="B56" s="8" t="s">
        <v>4</v>
      </c>
      <c r="C56" s="9" t="s">
        <v>1084</v>
      </c>
      <c r="D56" s="9" t="s">
        <v>1085</v>
      </c>
    </row>
    <row r="57" customFormat="false" ht="15" hidden="false" customHeight="false" outlineLevel="0" collapsed="false">
      <c r="A57" s="41" t="s">
        <v>1083</v>
      </c>
      <c r="B57" s="8" t="s">
        <v>7</v>
      </c>
      <c r="C57" s="9" t="s">
        <v>1086</v>
      </c>
      <c r="D57" s="9" t="s">
        <v>1087</v>
      </c>
    </row>
    <row r="58" customFormat="false" ht="15" hidden="false" customHeight="false" outlineLevel="0" collapsed="false">
      <c r="A58" s="41" t="s">
        <v>1083</v>
      </c>
      <c r="B58" s="8" t="s">
        <v>1088</v>
      </c>
      <c r="C58" s="9" t="s">
        <v>1089</v>
      </c>
      <c r="D58" s="9" t="s">
        <v>1090</v>
      </c>
    </row>
    <row r="59" customFormat="false" ht="26.85" hidden="false" customHeight="false" outlineLevel="0" collapsed="false">
      <c r="A59" s="41" t="s">
        <v>1061</v>
      </c>
      <c r="B59" s="8" t="s">
        <v>8</v>
      </c>
      <c r="C59" s="9" t="s">
        <v>1091</v>
      </c>
      <c r="D59" s="9" t="s">
        <v>1092</v>
      </c>
    </row>
    <row r="60" customFormat="false" ht="15" hidden="false" customHeight="false" outlineLevel="0" collapsed="false">
      <c r="A60" s="41" t="s">
        <v>1066</v>
      </c>
      <c r="B60" s="8" t="s">
        <v>8</v>
      </c>
      <c r="C60" s="9" t="s">
        <v>1093</v>
      </c>
      <c r="D60" s="9" t="s">
        <v>1094</v>
      </c>
    </row>
    <row r="61" customFormat="false" ht="15" hidden="false" customHeight="false" outlineLevel="0" collapsed="false">
      <c r="A61" s="41" t="s">
        <v>1066</v>
      </c>
      <c r="B61" s="8" t="s">
        <v>9</v>
      </c>
      <c r="C61" s="9" t="s">
        <v>1095</v>
      </c>
      <c r="D61" s="9" t="s">
        <v>1096</v>
      </c>
    </row>
    <row r="62" customFormat="false" ht="15" hidden="false" customHeight="false" outlineLevel="0" collapsed="false">
      <c r="A62" s="41" t="s">
        <v>1074</v>
      </c>
      <c r="B62" s="8" t="s">
        <v>9</v>
      </c>
      <c r="C62" s="9" t="s">
        <v>1097</v>
      </c>
      <c r="D62" s="9" t="s">
        <v>1098</v>
      </c>
    </row>
    <row r="63" customFormat="false" ht="15" hidden="false" customHeight="false" outlineLevel="0" collapsed="false">
      <c r="A63" s="41" t="s">
        <v>1083</v>
      </c>
      <c r="B63" s="8" t="s">
        <v>9</v>
      </c>
      <c r="C63" s="9" t="s">
        <v>1099</v>
      </c>
      <c r="D63" s="9" t="s">
        <v>1100</v>
      </c>
    </row>
    <row r="64" customFormat="false" ht="26.85" hidden="false" customHeight="false" outlineLevel="0" collapsed="false">
      <c r="A64" s="41" t="s">
        <v>1061</v>
      </c>
      <c r="B64" s="8" t="s">
        <v>10</v>
      </c>
      <c r="C64" s="10" t="s">
        <v>1101</v>
      </c>
      <c r="D64" s="10" t="s">
        <v>1102</v>
      </c>
    </row>
    <row r="65" customFormat="false" ht="15" hidden="false" customHeight="false" outlineLevel="0" collapsed="false">
      <c r="A65" s="41" t="s">
        <v>1066</v>
      </c>
      <c r="B65" s="8" t="s">
        <v>10</v>
      </c>
      <c r="C65" s="9" t="s">
        <v>1103</v>
      </c>
      <c r="D65" s="10" t="s">
        <v>1104</v>
      </c>
    </row>
    <row r="66" customFormat="false" ht="15" hidden="false" customHeight="false" outlineLevel="0" collapsed="false">
      <c r="A66" s="41" t="s">
        <v>1074</v>
      </c>
      <c r="B66" s="8" t="s">
        <v>10</v>
      </c>
      <c r="C66" s="9" t="s">
        <v>1105</v>
      </c>
      <c r="D66" s="9" t="s">
        <v>1106</v>
      </c>
    </row>
    <row r="67" customFormat="false" ht="15" hidden="false" customHeight="false" outlineLevel="0" collapsed="false">
      <c r="A67" s="41" t="s">
        <v>1061</v>
      </c>
      <c r="B67" s="8" t="s">
        <v>11</v>
      </c>
      <c r="C67" s="9" t="s">
        <v>1107</v>
      </c>
      <c r="D67" s="10" t="s">
        <v>1108</v>
      </c>
    </row>
    <row r="68" customFormat="false" ht="15" hidden="false" customHeight="false" outlineLevel="0" collapsed="false">
      <c r="A68" s="41" t="s">
        <v>1066</v>
      </c>
      <c r="B68" s="8" t="s">
        <v>11</v>
      </c>
      <c r="C68" s="10" t="s">
        <v>1109</v>
      </c>
      <c r="D68" s="10" t="s">
        <v>1110</v>
      </c>
    </row>
    <row r="69" customFormat="false" ht="15" hidden="false" customHeight="false" outlineLevel="0" collapsed="false">
      <c r="A69" s="41" t="s">
        <v>1066</v>
      </c>
      <c r="B69" s="8" t="s">
        <v>11</v>
      </c>
      <c r="C69" s="9" t="s">
        <v>1111</v>
      </c>
      <c r="D69" s="10" t="s">
        <v>1112</v>
      </c>
    </row>
    <row r="70" customFormat="false" ht="15" hidden="false" customHeight="false" outlineLevel="0" collapsed="false">
      <c r="A70" s="41" t="s">
        <v>1074</v>
      </c>
      <c r="B70" s="8" t="s">
        <v>11</v>
      </c>
      <c r="C70" s="9" t="s">
        <v>1113</v>
      </c>
      <c r="D70" s="9" t="s">
        <v>1114</v>
      </c>
    </row>
    <row r="71" customFormat="false" ht="15" hidden="false" customHeight="false" outlineLevel="0" collapsed="false">
      <c r="A71" s="41" t="s">
        <v>1083</v>
      </c>
      <c r="B71" s="8" t="s">
        <v>11</v>
      </c>
      <c r="C71" s="9" t="s">
        <v>1115</v>
      </c>
      <c r="D71" s="9" t="s">
        <v>1116</v>
      </c>
    </row>
    <row r="72" customFormat="false" ht="15" hidden="false" customHeight="false" outlineLevel="0" collapsed="false">
      <c r="A72" s="41" t="s">
        <v>1066</v>
      </c>
      <c r="B72" s="8" t="s">
        <v>12</v>
      </c>
      <c r="C72" s="10" t="s">
        <v>1117</v>
      </c>
      <c r="D72" s="9" t="s">
        <v>1118</v>
      </c>
    </row>
    <row r="73" customFormat="false" ht="15" hidden="false" customHeight="false" outlineLevel="0" collapsed="false">
      <c r="A73" s="41" t="s">
        <v>1074</v>
      </c>
      <c r="B73" s="8" t="s">
        <v>12</v>
      </c>
      <c r="C73" s="9" t="s">
        <v>1119</v>
      </c>
      <c r="D73" s="9" t="s">
        <v>1120</v>
      </c>
    </row>
    <row r="74" customFormat="false" ht="15" hidden="false" customHeight="false" outlineLevel="0" collapsed="false">
      <c r="A74" s="41" t="s">
        <v>1083</v>
      </c>
      <c r="B74" s="8" t="s">
        <v>12</v>
      </c>
      <c r="C74" s="9" t="s">
        <v>1121</v>
      </c>
      <c r="D74" s="9" t="s">
        <v>1122</v>
      </c>
    </row>
    <row r="75" customFormat="false" ht="15" hidden="false" customHeight="false" outlineLevel="0" collapsed="false">
      <c r="A75" s="41" t="s">
        <v>1061</v>
      </c>
      <c r="B75" s="8" t="s">
        <v>13</v>
      </c>
      <c r="C75" s="9" t="s">
        <v>1123</v>
      </c>
      <c r="D75" s="9" t="s">
        <v>1124</v>
      </c>
    </row>
    <row r="76" customFormat="false" ht="15" hidden="false" customHeight="false" outlineLevel="0" collapsed="false">
      <c r="A76" s="41" t="s">
        <v>1066</v>
      </c>
      <c r="B76" s="8" t="s">
        <v>13</v>
      </c>
      <c r="C76" s="9" t="s">
        <v>1125</v>
      </c>
      <c r="D76" s="9" t="s">
        <v>1126</v>
      </c>
    </row>
    <row r="77" customFormat="false" ht="15" hidden="false" customHeight="false" outlineLevel="0" collapsed="false">
      <c r="A77" s="41" t="s">
        <v>1074</v>
      </c>
      <c r="B77" s="8" t="s">
        <v>13</v>
      </c>
      <c r="C77" s="9" t="s">
        <v>1127</v>
      </c>
      <c r="D77" s="9" t="s">
        <v>1128</v>
      </c>
    </row>
    <row r="78" customFormat="false" ht="15" hidden="false" customHeight="false" outlineLevel="0" collapsed="false">
      <c r="A78" s="41" t="s">
        <v>1074</v>
      </c>
      <c r="B78" s="8" t="s">
        <v>13</v>
      </c>
      <c r="C78" s="9" t="s">
        <v>1129</v>
      </c>
      <c r="D78" s="9" t="s">
        <v>1130</v>
      </c>
    </row>
    <row r="79" customFormat="false" ht="15" hidden="false" customHeight="false" outlineLevel="0" collapsed="false">
      <c r="A79" s="41" t="s">
        <v>1061</v>
      </c>
      <c r="B79" s="8" t="s">
        <v>14</v>
      </c>
      <c r="C79" s="9" t="s">
        <v>1131</v>
      </c>
      <c r="D79" s="9" t="s">
        <v>1132</v>
      </c>
    </row>
    <row r="80" customFormat="false" ht="15" hidden="false" customHeight="false" outlineLevel="0" collapsed="false">
      <c r="A80" s="41" t="s">
        <v>1066</v>
      </c>
      <c r="B80" s="8" t="s">
        <v>14</v>
      </c>
      <c r="C80" s="9" t="s">
        <v>1133</v>
      </c>
      <c r="D80" s="9" t="s">
        <v>1134</v>
      </c>
    </row>
    <row r="81" customFormat="false" ht="15" hidden="false" customHeight="false" outlineLevel="0" collapsed="false">
      <c r="A81" s="41" t="s">
        <v>1074</v>
      </c>
      <c r="B81" s="8" t="s">
        <v>14</v>
      </c>
      <c r="C81" s="9" t="s">
        <v>1135</v>
      </c>
      <c r="D81" s="9" t="s">
        <v>1136</v>
      </c>
    </row>
    <row r="82" customFormat="false" ht="15" hidden="false" customHeight="false" outlineLevel="0" collapsed="false">
      <c r="A82" s="41" t="s">
        <v>1074</v>
      </c>
      <c r="B82" s="8" t="s">
        <v>14</v>
      </c>
      <c r="C82" s="9" t="s">
        <v>1137</v>
      </c>
      <c r="D82" s="9" t="s">
        <v>1138</v>
      </c>
    </row>
    <row r="83" customFormat="false" ht="15" hidden="false" customHeight="false" outlineLevel="0" collapsed="false">
      <c r="A83" s="41" t="s">
        <v>1061</v>
      </c>
      <c r="B83" s="8" t="s">
        <v>15</v>
      </c>
      <c r="C83" s="9" t="s">
        <v>1139</v>
      </c>
      <c r="D83" s="9" t="s">
        <v>1140</v>
      </c>
    </row>
    <row r="84" customFormat="false" ht="15" hidden="false" customHeight="false" outlineLevel="0" collapsed="false">
      <c r="A84" s="41" t="s">
        <v>1066</v>
      </c>
      <c r="B84" s="8" t="s">
        <v>15</v>
      </c>
      <c r="C84" s="9" t="s">
        <v>1141</v>
      </c>
      <c r="D84" s="9" t="s">
        <v>1142</v>
      </c>
    </row>
    <row r="85" customFormat="false" ht="15" hidden="false" customHeight="false" outlineLevel="0" collapsed="false">
      <c r="A85" s="41" t="s">
        <v>1074</v>
      </c>
      <c r="B85" s="8" t="s">
        <v>15</v>
      </c>
      <c r="C85" s="9" t="s">
        <v>1143</v>
      </c>
      <c r="D85" s="9" t="s">
        <v>1144</v>
      </c>
    </row>
    <row r="86" customFormat="false" ht="15" hidden="false" customHeight="false" outlineLevel="0" collapsed="false">
      <c r="A86" s="41" t="s">
        <v>1074</v>
      </c>
      <c r="B86" s="8" t="s">
        <v>15</v>
      </c>
      <c r="C86" s="9" t="s">
        <v>1145</v>
      </c>
      <c r="D86" s="9" t="s">
        <v>1146</v>
      </c>
    </row>
    <row r="87" customFormat="false" ht="15" hidden="false" customHeight="false" outlineLevel="0" collapsed="false">
      <c r="A87" s="41" t="s">
        <v>1083</v>
      </c>
      <c r="B87" s="8" t="s">
        <v>15</v>
      </c>
      <c r="C87" s="9" t="s">
        <v>1147</v>
      </c>
      <c r="D87" s="10" t="s">
        <v>410</v>
      </c>
    </row>
    <row r="88" customFormat="false" ht="15" hidden="false" customHeight="false" outlineLevel="0" collapsed="false">
      <c r="A88" s="41" t="s">
        <v>1066</v>
      </c>
      <c r="B88" s="8" t="s">
        <v>16</v>
      </c>
      <c r="C88" s="9" t="s">
        <v>1148</v>
      </c>
      <c r="D88" s="9" t="s">
        <v>1149</v>
      </c>
    </row>
    <row r="89" customFormat="false" ht="15" hidden="false" customHeight="false" outlineLevel="0" collapsed="false">
      <c r="A89" s="41" t="s">
        <v>1074</v>
      </c>
      <c r="B89" s="8" t="s">
        <v>16</v>
      </c>
      <c r="C89" s="9" t="s">
        <v>1150</v>
      </c>
      <c r="D89" s="9" t="s">
        <v>1151</v>
      </c>
    </row>
    <row r="90" customFormat="false" ht="15" hidden="false" customHeight="false" outlineLevel="0" collapsed="false">
      <c r="A90" s="41" t="s">
        <v>1083</v>
      </c>
      <c r="B90" s="8" t="s">
        <v>16</v>
      </c>
      <c r="C90" s="9" t="s">
        <v>1152</v>
      </c>
      <c r="D90" s="9" t="s">
        <v>1153</v>
      </c>
    </row>
    <row r="91" customFormat="false" ht="15" hidden="false" customHeight="false" outlineLevel="0" collapsed="false">
      <c r="A91" s="41" t="s">
        <v>1066</v>
      </c>
      <c r="B91" s="8" t="s">
        <v>17</v>
      </c>
      <c r="C91" s="9" t="s">
        <v>1154</v>
      </c>
      <c r="D91" s="9" t="s">
        <v>1155</v>
      </c>
    </row>
    <row r="92" customFormat="false" ht="15" hidden="false" customHeight="false" outlineLevel="0" collapsed="false">
      <c r="A92" s="41" t="s">
        <v>1066</v>
      </c>
      <c r="B92" s="8" t="s">
        <v>17</v>
      </c>
      <c r="C92" s="9" t="s">
        <v>1156</v>
      </c>
      <c r="D92" s="9" t="s">
        <v>1157</v>
      </c>
    </row>
    <row r="93" customFormat="false" ht="15" hidden="false" customHeight="false" outlineLevel="0" collapsed="false">
      <c r="A93" s="41" t="s">
        <v>1074</v>
      </c>
      <c r="B93" s="8" t="s">
        <v>17</v>
      </c>
      <c r="C93" s="9" t="s">
        <v>1158</v>
      </c>
      <c r="D93" s="9" t="s">
        <v>1159</v>
      </c>
    </row>
    <row r="94" customFormat="false" ht="15" hidden="false" customHeight="false" outlineLevel="0" collapsed="false">
      <c r="A94" s="41" t="s">
        <v>1066</v>
      </c>
      <c r="B94" s="8" t="s">
        <v>18</v>
      </c>
      <c r="C94" s="10" t="s">
        <v>1160</v>
      </c>
      <c r="D94" s="10" t="s">
        <v>1161</v>
      </c>
    </row>
    <row r="95" customFormat="false" ht="15" hidden="false" customHeight="false" outlineLevel="0" collapsed="false">
      <c r="A95" s="41" t="s">
        <v>1074</v>
      </c>
      <c r="B95" s="8" t="s">
        <v>18</v>
      </c>
      <c r="C95" s="9" t="s">
        <v>1162</v>
      </c>
      <c r="D95" s="10" t="s">
        <v>410</v>
      </c>
    </row>
    <row r="96" customFormat="false" ht="15" hidden="false" customHeight="false" outlineLevel="0" collapsed="false">
      <c r="A96" s="41" t="s">
        <v>1066</v>
      </c>
      <c r="B96" s="8" t="s">
        <v>19</v>
      </c>
      <c r="C96" s="10" t="s">
        <v>1163</v>
      </c>
      <c r="D96" s="9" t="s">
        <v>1164</v>
      </c>
    </row>
    <row r="97" customFormat="false" ht="15" hidden="false" customHeight="false" outlineLevel="0" collapsed="false">
      <c r="A97" s="41" t="s">
        <v>1074</v>
      </c>
      <c r="B97" s="8" t="s">
        <v>19</v>
      </c>
      <c r="C97" s="9" t="s">
        <v>1165</v>
      </c>
      <c r="D97" s="10" t="s">
        <v>410</v>
      </c>
    </row>
    <row r="98" customFormat="false" ht="15" hidden="false" customHeight="false" outlineLevel="0" collapsed="false">
      <c r="A98" s="41" t="s">
        <v>1061</v>
      </c>
      <c r="B98" s="8" t="s">
        <v>20</v>
      </c>
      <c r="C98" s="9" t="s">
        <v>1166</v>
      </c>
      <c r="D98" s="10" t="s">
        <v>1167</v>
      </c>
    </row>
    <row r="99" customFormat="false" ht="15" hidden="false" customHeight="false" outlineLevel="0" collapsed="false">
      <c r="A99" s="41" t="s">
        <v>1066</v>
      </c>
      <c r="B99" s="8" t="s">
        <v>20</v>
      </c>
      <c r="C99" s="9" t="s">
        <v>1168</v>
      </c>
      <c r="D99" s="10" t="s">
        <v>1169</v>
      </c>
    </row>
    <row r="100" customFormat="false" ht="26.85" hidden="false" customHeight="false" outlineLevel="0" collapsed="false">
      <c r="A100" s="41" t="s">
        <v>1074</v>
      </c>
      <c r="B100" s="8" t="s">
        <v>20</v>
      </c>
      <c r="C100" s="9" t="s">
        <v>1170</v>
      </c>
      <c r="D100" s="10" t="s">
        <v>410</v>
      </c>
    </row>
    <row r="101" customFormat="false" ht="26.85" hidden="false" customHeight="false" outlineLevel="0" collapsed="false">
      <c r="A101" s="41" t="s">
        <v>1061</v>
      </c>
      <c r="B101" s="8" t="s">
        <v>692</v>
      </c>
      <c r="C101" s="9" t="s">
        <v>1171</v>
      </c>
      <c r="D101" s="9" t="s">
        <v>1172</v>
      </c>
    </row>
    <row r="102" customFormat="false" ht="15" hidden="false" customHeight="false" outlineLevel="0" collapsed="false">
      <c r="A102" s="41" t="s">
        <v>1066</v>
      </c>
      <c r="B102" s="8" t="s">
        <v>692</v>
      </c>
      <c r="C102" s="9" t="s">
        <v>1173</v>
      </c>
      <c r="D102" s="9" t="s">
        <v>1174</v>
      </c>
    </row>
    <row r="103" customFormat="false" ht="15" hidden="false" customHeight="false" outlineLevel="0" collapsed="false">
      <c r="A103" s="41" t="s">
        <v>1074</v>
      </c>
      <c r="B103" s="8" t="s">
        <v>692</v>
      </c>
      <c r="C103" s="10" t="s">
        <v>1175</v>
      </c>
      <c r="D103" s="9" t="s">
        <v>1176</v>
      </c>
    </row>
    <row r="104" customFormat="false" ht="15" hidden="false" customHeight="false" outlineLevel="0" collapsed="false">
      <c r="A104" s="41" t="s">
        <v>1074</v>
      </c>
      <c r="B104" s="8" t="s">
        <v>692</v>
      </c>
      <c r="C104" s="9" t="s">
        <v>1177</v>
      </c>
      <c r="D104" s="10" t="s">
        <v>1178</v>
      </c>
    </row>
    <row r="105" customFormat="false" ht="15" hidden="false" customHeight="false" outlineLevel="0" collapsed="false">
      <c r="A105" s="41" t="s">
        <v>1074</v>
      </c>
      <c r="B105" s="8" t="s">
        <v>991</v>
      </c>
      <c r="C105" s="9" t="s">
        <v>1179</v>
      </c>
      <c r="D105" s="9" t="s">
        <v>1180</v>
      </c>
    </row>
    <row r="106" customFormat="false" ht="15" hidden="false" customHeight="false" outlineLevel="0" collapsed="false">
      <c r="A106" s="41" t="s">
        <v>1061</v>
      </c>
      <c r="B106" s="8" t="s">
        <v>22</v>
      </c>
      <c r="C106" s="9" t="s">
        <v>1181</v>
      </c>
      <c r="D106" s="9" t="s">
        <v>1182</v>
      </c>
    </row>
    <row r="107" customFormat="false" ht="15" hidden="false" customHeight="false" outlineLevel="0" collapsed="false">
      <c r="A107" s="41" t="s">
        <v>1066</v>
      </c>
      <c r="B107" s="8" t="s">
        <v>22</v>
      </c>
      <c r="C107" s="9" t="s">
        <v>1183</v>
      </c>
      <c r="D107" s="10" t="s">
        <v>1184</v>
      </c>
    </row>
    <row r="108" customFormat="false" ht="15" hidden="false" customHeight="false" outlineLevel="0" collapsed="false">
      <c r="A108" s="41" t="s">
        <v>1074</v>
      </c>
      <c r="B108" s="8" t="s">
        <v>22</v>
      </c>
      <c r="C108" s="9" t="s">
        <v>1185</v>
      </c>
      <c r="D108" s="9" t="s">
        <v>1186</v>
      </c>
    </row>
    <row r="109" customFormat="false" ht="15" hidden="false" customHeight="false" outlineLevel="0" collapsed="false">
      <c r="A109" s="41" t="s">
        <v>1083</v>
      </c>
      <c r="B109" s="8" t="s">
        <v>22</v>
      </c>
      <c r="C109" s="9" t="s">
        <v>1187</v>
      </c>
      <c r="D109" s="10" t="s">
        <v>410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1188</v>
      </c>
    </row>
    <row r="2" customFormat="false" ht="15" hidden="false" customHeight="false" outlineLevel="0" collapsed="false">
      <c r="A2" s="2" t="s">
        <v>1189</v>
      </c>
    </row>
    <row r="4" customFormat="false" ht="15" hidden="false" customHeight="false" outlineLevel="0" collapsed="false">
      <c r="A4" s="66" t="s">
        <v>1190</v>
      </c>
      <c r="B4" s="3" t="s">
        <v>203</v>
      </c>
      <c r="C4" s="3" t="s">
        <v>1191</v>
      </c>
      <c r="D4" s="3" t="s">
        <v>1192</v>
      </c>
      <c r="E4" s="3" t="s">
        <v>1193</v>
      </c>
    </row>
    <row r="5" customFormat="false" ht="39.55" hidden="false" customHeight="false" outlineLevel="0" collapsed="false">
      <c r="A5" s="59" t="n">
        <v>1</v>
      </c>
      <c r="B5" s="67" t="s">
        <v>496</v>
      </c>
      <c r="C5" s="9" t="s">
        <v>1194</v>
      </c>
      <c r="D5" s="9" t="s">
        <v>1195</v>
      </c>
      <c r="E5" s="10" t="s">
        <v>1196</v>
      </c>
    </row>
    <row r="6" customFormat="false" ht="26.85" hidden="false" customHeight="false" outlineLevel="0" collapsed="false">
      <c r="A6" s="59" t="n">
        <v>2</v>
      </c>
      <c r="B6" s="67" t="s">
        <v>496</v>
      </c>
      <c r="C6" s="9" t="s">
        <v>1197</v>
      </c>
      <c r="D6" s="10" t="s">
        <v>1198</v>
      </c>
      <c r="E6" s="10" t="s">
        <v>1199</v>
      </c>
    </row>
    <row r="7" customFormat="false" ht="26.85" hidden="false" customHeight="false" outlineLevel="0" collapsed="false">
      <c r="A7" s="59" t="n">
        <v>3</v>
      </c>
      <c r="B7" s="67" t="s">
        <v>496</v>
      </c>
      <c r="C7" s="9" t="s">
        <v>1200</v>
      </c>
      <c r="D7" s="9" t="s">
        <v>1201</v>
      </c>
      <c r="E7" s="9" t="s">
        <v>1202</v>
      </c>
    </row>
    <row r="8" customFormat="false" ht="26.85" hidden="false" customHeight="false" outlineLevel="0" collapsed="false">
      <c r="A8" s="59" t="n">
        <v>4</v>
      </c>
      <c r="B8" s="67" t="s">
        <v>496</v>
      </c>
      <c r="C8" s="9" t="s">
        <v>1203</v>
      </c>
      <c r="D8" s="10" t="s">
        <v>1204</v>
      </c>
      <c r="E8" s="9" t="s">
        <v>1205</v>
      </c>
    </row>
    <row r="9" customFormat="false" ht="26.85" hidden="false" customHeight="false" outlineLevel="0" collapsed="false">
      <c r="A9" s="59" t="n">
        <v>5</v>
      </c>
      <c r="B9" s="67" t="s">
        <v>496</v>
      </c>
      <c r="C9" s="9" t="s">
        <v>1206</v>
      </c>
      <c r="D9" s="9" t="s">
        <v>1207</v>
      </c>
      <c r="E9" s="9" t="s">
        <v>1208</v>
      </c>
    </row>
    <row r="10" customFormat="false" ht="26.85" hidden="false" customHeight="false" outlineLevel="0" collapsed="false">
      <c r="A10" s="59" t="n">
        <v>6</v>
      </c>
      <c r="B10" s="67" t="s">
        <v>496</v>
      </c>
      <c r="C10" s="9" t="s">
        <v>1209</v>
      </c>
      <c r="D10" s="9" t="s">
        <v>1210</v>
      </c>
      <c r="E10" s="9" t="s">
        <v>1211</v>
      </c>
    </row>
    <row r="11" customFormat="false" ht="26.85" hidden="false" customHeight="false" outlineLevel="0" collapsed="false">
      <c r="A11" s="59" t="n">
        <v>7</v>
      </c>
      <c r="B11" s="67" t="s">
        <v>496</v>
      </c>
      <c r="C11" s="9" t="s">
        <v>1212</v>
      </c>
      <c r="D11" s="9" t="s">
        <v>1213</v>
      </c>
      <c r="E11" s="9" t="s">
        <v>1214</v>
      </c>
    </row>
    <row r="12" customFormat="false" ht="39.55" hidden="false" customHeight="false" outlineLevel="0" collapsed="false">
      <c r="A12" s="59" t="n">
        <v>8</v>
      </c>
      <c r="B12" s="67" t="s">
        <v>496</v>
      </c>
      <c r="C12" s="9" t="s">
        <v>1215</v>
      </c>
      <c r="D12" s="9" t="s">
        <v>1216</v>
      </c>
      <c r="E12" s="9" t="s">
        <v>1217</v>
      </c>
    </row>
    <row r="13" customFormat="false" ht="26.85" hidden="false" customHeight="false" outlineLevel="0" collapsed="false">
      <c r="A13" s="59" t="n">
        <v>9</v>
      </c>
      <c r="B13" s="67" t="s">
        <v>1218</v>
      </c>
      <c r="C13" s="9" t="s">
        <v>1219</v>
      </c>
      <c r="D13" s="9" t="s">
        <v>1220</v>
      </c>
      <c r="E13" s="9" t="s">
        <v>1221</v>
      </c>
    </row>
    <row r="14" customFormat="false" ht="26.85" hidden="false" customHeight="false" outlineLevel="0" collapsed="false">
      <c r="A14" s="59" t="n">
        <v>10</v>
      </c>
      <c r="B14" s="67" t="s">
        <v>1218</v>
      </c>
      <c r="C14" s="9" t="s">
        <v>1222</v>
      </c>
      <c r="D14" s="9" t="s">
        <v>1223</v>
      </c>
      <c r="E14" s="9" t="s">
        <v>1224</v>
      </c>
    </row>
    <row r="15" customFormat="false" ht="26.85" hidden="false" customHeight="false" outlineLevel="0" collapsed="false">
      <c r="A15" s="59" t="n">
        <v>11</v>
      </c>
      <c r="B15" s="67" t="s">
        <v>1218</v>
      </c>
      <c r="C15" s="9" t="s">
        <v>1225</v>
      </c>
      <c r="D15" s="10" t="s">
        <v>1226</v>
      </c>
      <c r="E15" s="9" t="s">
        <v>1227</v>
      </c>
    </row>
    <row r="16" customFormat="false" ht="26.85" hidden="false" customHeight="false" outlineLevel="0" collapsed="false">
      <c r="A16" s="59" t="n">
        <v>12</v>
      </c>
      <c r="B16" s="67" t="s">
        <v>1218</v>
      </c>
      <c r="C16" s="10" t="s">
        <v>1228</v>
      </c>
      <c r="D16" s="9" t="s">
        <v>1229</v>
      </c>
      <c r="E16" s="9" t="s">
        <v>1230</v>
      </c>
    </row>
    <row r="17" customFormat="false" ht="26.85" hidden="false" customHeight="false" outlineLevel="0" collapsed="false">
      <c r="A17" s="59" t="n">
        <v>13</v>
      </c>
      <c r="B17" s="67" t="s">
        <v>1218</v>
      </c>
      <c r="C17" s="9" t="s">
        <v>1231</v>
      </c>
      <c r="D17" s="10" t="s">
        <v>1232</v>
      </c>
      <c r="E17" s="9" t="s">
        <v>1233</v>
      </c>
    </row>
    <row r="18" customFormat="false" ht="26.85" hidden="false" customHeight="false" outlineLevel="0" collapsed="false">
      <c r="A18" s="59" t="n">
        <v>14</v>
      </c>
      <c r="B18" s="67" t="s">
        <v>1234</v>
      </c>
      <c r="C18" s="9" t="s">
        <v>1235</v>
      </c>
      <c r="D18" s="9" t="s">
        <v>1236</v>
      </c>
      <c r="E18" s="9" t="s">
        <v>1237</v>
      </c>
    </row>
    <row r="19" customFormat="false" ht="39.55" hidden="false" customHeight="false" outlineLevel="0" collapsed="false">
      <c r="A19" s="59" t="n">
        <v>43</v>
      </c>
      <c r="B19" s="67" t="s">
        <v>1234</v>
      </c>
      <c r="C19" s="9" t="s">
        <v>1238</v>
      </c>
      <c r="D19" s="10" t="s">
        <v>1239</v>
      </c>
      <c r="E19" s="9" t="s">
        <v>1240</v>
      </c>
    </row>
    <row r="20" customFormat="false" ht="39.55" hidden="false" customHeight="false" outlineLevel="0" collapsed="false">
      <c r="A20" s="59" t="n">
        <v>44</v>
      </c>
      <c r="B20" s="67" t="s">
        <v>1234</v>
      </c>
      <c r="C20" s="9" t="s">
        <v>1241</v>
      </c>
      <c r="D20" s="10" t="s">
        <v>1242</v>
      </c>
      <c r="E20" s="9" t="s">
        <v>1243</v>
      </c>
    </row>
    <row r="21" customFormat="false" ht="39.55" hidden="false" customHeight="false" outlineLevel="0" collapsed="false">
      <c r="A21" s="59" t="n">
        <v>52</v>
      </c>
      <c r="B21" s="67" t="s">
        <v>1234</v>
      </c>
      <c r="C21" s="9" t="s">
        <v>1244</v>
      </c>
      <c r="D21" s="10" t="s">
        <v>1245</v>
      </c>
      <c r="E21" s="9" t="s">
        <v>1246</v>
      </c>
    </row>
    <row r="22" customFormat="false" ht="39.55" hidden="false" customHeight="false" outlineLevel="0" collapsed="false">
      <c r="A22" s="59" t="n">
        <v>53</v>
      </c>
      <c r="B22" s="67" t="s">
        <v>1218</v>
      </c>
      <c r="C22" s="9" t="s">
        <v>1247</v>
      </c>
      <c r="D22" s="9" t="s">
        <v>1248</v>
      </c>
      <c r="E22" s="9" t="s">
        <v>1249</v>
      </c>
    </row>
    <row r="23" customFormat="false" ht="39.55" hidden="false" customHeight="false" outlineLevel="0" collapsed="false">
      <c r="A23" s="59" t="n">
        <v>54</v>
      </c>
      <c r="B23" s="67" t="s">
        <v>1234</v>
      </c>
      <c r="C23" s="9" t="s">
        <v>1250</v>
      </c>
      <c r="D23" s="9" t="s">
        <v>1251</v>
      </c>
      <c r="E23" s="9" t="s">
        <v>1252</v>
      </c>
    </row>
    <row r="24" customFormat="false" ht="39.55" hidden="false" customHeight="false" outlineLevel="0" collapsed="false">
      <c r="A24" s="59" t="n">
        <v>49</v>
      </c>
      <c r="B24" s="67" t="s">
        <v>1218</v>
      </c>
      <c r="C24" s="9" t="s">
        <v>1253</v>
      </c>
      <c r="D24" s="9" t="s">
        <v>1254</v>
      </c>
      <c r="E24" s="9" t="s">
        <v>1255</v>
      </c>
    </row>
    <row r="25" customFormat="false" ht="26.85" hidden="false" customHeight="false" outlineLevel="0" collapsed="false">
      <c r="A25" s="59" t="n">
        <v>50</v>
      </c>
      <c r="B25" s="67" t="s">
        <v>1234</v>
      </c>
      <c r="C25" s="9" t="s">
        <v>1256</v>
      </c>
      <c r="D25" s="9" t="s">
        <v>1257</v>
      </c>
      <c r="E25" s="9" t="s">
        <v>1258</v>
      </c>
    </row>
    <row r="26" customFormat="false" ht="39.55" hidden="false" customHeight="false" outlineLevel="0" collapsed="false">
      <c r="A26" s="59" t="n">
        <v>51</v>
      </c>
      <c r="B26" s="67" t="s">
        <v>1218</v>
      </c>
      <c r="C26" s="9" t="s">
        <v>1259</v>
      </c>
      <c r="D26" s="9" t="s">
        <v>1260</v>
      </c>
      <c r="E26" s="9" t="s">
        <v>1261</v>
      </c>
    </row>
    <row r="27" customFormat="false" ht="26.85" hidden="false" customHeight="false" outlineLevel="0" collapsed="false">
      <c r="A27" s="59" t="n">
        <v>46</v>
      </c>
      <c r="B27" s="67" t="s">
        <v>1218</v>
      </c>
      <c r="C27" s="9" t="s">
        <v>1262</v>
      </c>
      <c r="D27" s="9" t="s">
        <v>1263</v>
      </c>
      <c r="E27" s="9" t="s">
        <v>1264</v>
      </c>
    </row>
    <row r="28" customFormat="false" ht="26.85" hidden="false" customHeight="false" outlineLevel="0" collapsed="false">
      <c r="A28" s="59" t="n">
        <v>47</v>
      </c>
      <c r="B28" s="67" t="s">
        <v>1234</v>
      </c>
      <c r="C28" s="9" t="s">
        <v>1265</v>
      </c>
      <c r="D28" s="10" t="s">
        <v>1266</v>
      </c>
      <c r="E28" s="9" t="s">
        <v>1267</v>
      </c>
    </row>
    <row r="29" customFormat="false" ht="39.55" hidden="false" customHeight="false" outlineLevel="0" collapsed="false">
      <c r="A29" s="59" t="n">
        <v>48</v>
      </c>
      <c r="B29" s="67" t="s">
        <v>1234</v>
      </c>
      <c r="C29" s="9" t="s">
        <v>1268</v>
      </c>
      <c r="D29" s="9" t="s">
        <v>1269</v>
      </c>
      <c r="E29" s="9" t="s">
        <v>1270</v>
      </c>
    </row>
    <row r="30" customFormat="false" ht="39.55" hidden="false" customHeight="false" outlineLevel="0" collapsed="false">
      <c r="A30" s="59" t="n">
        <v>45</v>
      </c>
      <c r="B30" s="67" t="s">
        <v>1218</v>
      </c>
      <c r="C30" s="9" t="s">
        <v>1271</v>
      </c>
      <c r="D30" s="9" t="s">
        <v>1272</v>
      </c>
      <c r="E30" s="9" t="s">
        <v>1273</v>
      </c>
    </row>
    <row r="31" customFormat="false" ht="39.55" hidden="false" customHeight="false" outlineLevel="0" collapsed="false">
      <c r="A31" s="59" t="n">
        <v>39</v>
      </c>
      <c r="B31" s="67" t="s">
        <v>496</v>
      </c>
      <c r="C31" s="9" t="s">
        <v>1274</v>
      </c>
      <c r="D31" s="9" t="s">
        <v>1275</v>
      </c>
      <c r="E31" s="9" t="s">
        <v>1276</v>
      </c>
    </row>
    <row r="32" customFormat="false" ht="39.55" hidden="false" customHeight="false" outlineLevel="0" collapsed="false">
      <c r="A32" s="59" t="n">
        <v>40</v>
      </c>
      <c r="B32" s="67" t="s">
        <v>496</v>
      </c>
      <c r="C32" s="9" t="s">
        <v>1277</v>
      </c>
      <c r="D32" s="9" t="s">
        <v>1278</v>
      </c>
      <c r="E32" s="9" t="s">
        <v>1279</v>
      </c>
    </row>
    <row r="33" customFormat="false" ht="39.55" hidden="false" customHeight="false" outlineLevel="0" collapsed="false">
      <c r="A33" s="59" t="n">
        <v>41</v>
      </c>
      <c r="B33" s="67" t="s">
        <v>1234</v>
      </c>
      <c r="C33" s="9" t="s">
        <v>1280</v>
      </c>
      <c r="D33" s="9" t="s">
        <v>1281</v>
      </c>
      <c r="E33" s="9" t="s">
        <v>1282</v>
      </c>
    </row>
    <row r="34" customFormat="false" ht="26.85" hidden="false" customHeight="false" outlineLevel="0" collapsed="false">
      <c r="A34" s="59" t="n">
        <v>42</v>
      </c>
      <c r="B34" s="67" t="s">
        <v>1218</v>
      </c>
      <c r="C34" s="9" t="s">
        <v>1283</v>
      </c>
      <c r="D34" s="9" t="s">
        <v>1284</v>
      </c>
      <c r="E34" s="9" t="s">
        <v>1285</v>
      </c>
    </row>
    <row r="35" customFormat="false" ht="39.55" hidden="false" customHeight="false" outlineLevel="0" collapsed="false">
      <c r="A35" s="59" t="n">
        <v>34</v>
      </c>
      <c r="B35" s="67" t="s">
        <v>1234</v>
      </c>
      <c r="C35" s="9" t="s">
        <v>1286</v>
      </c>
      <c r="D35" s="9" t="s">
        <v>1287</v>
      </c>
      <c r="E35" s="9" t="s">
        <v>1288</v>
      </c>
    </row>
    <row r="36" customFormat="false" ht="39.55" hidden="false" customHeight="false" outlineLevel="0" collapsed="false">
      <c r="A36" s="59" t="n">
        <v>35</v>
      </c>
      <c r="B36" s="67" t="s">
        <v>496</v>
      </c>
      <c r="C36" s="9" t="s">
        <v>1289</v>
      </c>
      <c r="D36" s="9" t="s">
        <v>1290</v>
      </c>
      <c r="E36" s="9" t="s">
        <v>1291</v>
      </c>
    </row>
    <row r="37" customFormat="false" ht="39.55" hidden="false" customHeight="false" outlineLevel="0" collapsed="false">
      <c r="A37" s="59" t="n">
        <v>36</v>
      </c>
      <c r="B37" s="67" t="s">
        <v>1234</v>
      </c>
      <c r="C37" s="9" t="s">
        <v>1292</v>
      </c>
      <c r="D37" s="9" t="s">
        <v>1293</v>
      </c>
      <c r="E37" s="9" t="s">
        <v>1294</v>
      </c>
    </row>
    <row r="38" customFormat="false" ht="39.55" hidden="false" customHeight="false" outlineLevel="0" collapsed="false">
      <c r="A38" s="59" t="n">
        <v>37</v>
      </c>
      <c r="B38" s="67" t="s">
        <v>1234</v>
      </c>
      <c r="C38" s="9" t="s">
        <v>1295</v>
      </c>
      <c r="D38" s="9" t="s">
        <v>1296</v>
      </c>
      <c r="E38" s="9" t="s">
        <v>1297</v>
      </c>
    </row>
    <row r="39" customFormat="false" ht="39.55" hidden="false" customHeight="false" outlineLevel="0" collapsed="false">
      <c r="A39" s="59" t="n">
        <v>38</v>
      </c>
      <c r="B39" s="67" t="s">
        <v>496</v>
      </c>
      <c r="C39" s="9" t="s">
        <v>1298</v>
      </c>
      <c r="D39" s="10" t="s">
        <v>1299</v>
      </c>
      <c r="E39" s="9" t="s">
        <v>1300</v>
      </c>
    </row>
    <row r="40" customFormat="false" ht="39.55" hidden="false" customHeight="false" outlineLevel="0" collapsed="false">
      <c r="A40" s="59" t="n">
        <v>31</v>
      </c>
      <c r="B40" s="67" t="s">
        <v>1218</v>
      </c>
      <c r="C40" s="9" t="s">
        <v>1301</v>
      </c>
      <c r="D40" s="10" t="s">
        <v>1302</v>
      </c>
      <c r="E40" s="9" t="s">
        <v>1303</v>
      </c>
    </row>
    <row r="41" customFormat="false" ht="39.55" hidden="false" customHeight="false" outlineLevel="0" collapsed="false">
      <c r="A41" s="59" t="n">
        <v>32</v>
      </c>
      <c r="B41" s="67" t="s">
        <v>1234</v>
      </c>
      <c r="C41" s="9" t="s">
        <v>1304</v>
      </c>
      <c r="D41" s="10" t="s">
        <v>1305</v>
      </c>
      <c r="E41" s="10" t="s">
        <v>1306</v>
      </c>
    </row>
    <row r="42" customFormat="false" ht="26.85" hidden="false" customHeight="false" outlineLevel="0" collapsed="false">
      <c r="A42" s="59" t="n">
        <v>33</v>
      </c>
      <c r="B42" s="67" t="s">
        <v>1218</v>
      </c>
      <c r="C42" s="9" t="s">
        <v>1307</v>
      </c>
      <c r="D42" s="9" t="s">
        <v>1308</v>
      </c>
      <c r="E42" s="9" t="s">
        <v>1309</v>
      </c>
    </row>
    <row r="43" customFormat="false" ht="39.55" hidden="false" customHeight="false" outlineLevel="0" collapsed="false">
      <c r="A43" s="59" t="n">
        <v>29</v>
      </c>
      <c r="B43" s="67" t="s">
        <v>1234</v>
      </c>
      <c r="C43" s="9" t="s">
        <v>1310</v>
      </c>
      <c r="D43" s="9" t="s">
        <v>1311</v>
      </c>
      <c r="E43" s="9" t="s">
        <v>1312</v>
      </c>
    </row>
    <row r="44" customFormat="false" ht="26.85" hidden="false" customHeight="false" outlineLevel="0" collapsed="false">
      <c r="A44" s="59" t="n">
        <v>30</v>
      </c>
      <c r="B44" s="67" t="s">
        <v>1218</v>
      </c>
      <c r="C44" s="9" t="s">
        <v>1313</v>
      </c>
      <c r="D44" s="9" t="s">
        <v>1314</v>
      </c>
      <c r="E44" s="9" t="s">
        <v>1315</v>
      </c>
    </row>
    <row r="45" customFormat="false" ht="38.05" hidden="false" customHeight="false" outlineLevel="0" collapsed="false">
      <c r="A45" s="59" t="n">
        <v>26</v>
      </c>
      <c r="B45" s="67" t="s">
        <v>1218</v>
      </c>
      <c r="C45" s="10" t="s">
        <v>1316</v>
      </c>
      <c r="D45" s="9" t="s">
        <v>1317</v>
      </c>
      <c r="E45" s="9" t="s">
        <v>1318</v>
      </c>
    </row>
    <row r="46" customFormat="false" ht="26.85" hidden="false" customHeight="false" outlineLevel="0" collapsed="false">
      <c r="A46" s="59" t="n">
        <v>27</v>
      </c>
      <c r="B46" s="67" t="s">
        <v>1218</v>
      </c>
      <c r="C46" s="9" t="s">
        <v>1319</v>
      </c>
      <c r="D46" s="9" t="s">
        <v>1320</v>
      </c>
      <c r="E46" s="9" t="s">
        <v>1321</v>
      </c>
    </row>
    <row r="47" customFormat="false" ht="26.85" hidden="false" customHeight="false" outlineLevel="0" collapsed="false">
      <c r="A47" s="59" t="n">
        <v>28</v>
      </c>
      <c r="B47" s="67" t="s">
        <v>1218</v>
      </c>
      <c r="C47" s="9" t="s">
        <v>1322</v>
      </c>
      <c r="D47" s="9" t="s">
        <v>1323</v>
      </c>
      <c r="E47" s="9" t="s">
        <v>1324</v>
      </c>
    </row>
    <row r="48" customFormat="false" ht="39.55" hidden="false" customHeight="false" outlineLevel="0" collapsed="false">
      <c r="A48" s="59" t="n">
        <v>22</v>
      </c>
      <c r="B48" s="67" t="s">
        <v>496</v>
      </c>
      <c r="C48" s="9" t="s">
        <v>1325</v>
      </c>
      <c r="D48" s="9" t="s">
        <v>1326</v>
      </c>
      <c r="E48" s="9" t="s">
        <v>1327</v>
      </c>
    </row>
    <row r="49" customFormat="false" ht="39.55" hidden="false" customHeight="false" outlineLevel="0" collapsed="false">
      <c r="A49" s="59" t="n">
        <v>23</v>
      </c>
      <c r="B49" s="67" t="s">
        <v>496</v>
      </c>
      <c r="C49" s="9" t="s">
        <v>1328</v>
      </c>
      <c r="D49" s="10" t="s">
        <v>1329</v>
      </c>
      <c r="E49" s="9" t="s">
        <v>1330</v>
      </c>
    </row>
    <row r="50" customFormat="false" ht="26.85" hidden="false" customHeight="false" outlineLevel="0" collapsed="false">
      <c r="A50" s="59" t="n">
        <v>24</v>
      </c>
      <c r="B50" s="67" t="s">
        <v>1218</v>
      </c>
      <c r="C50" s="9" t="s">
        <v>1331</v>
      </c>
      <c r="D50" s="9" t="s">
        <v>1332</v>
      </c>
      <c r="E50" s="9" t="s">
        <v>1333</v>
      </c>
    </row>
    <row r="51" customFormat="false" ht="39.55" hidden="false" customHeight="false" outlineLevel="0" collapsed="false">
      <c r="A51" s="59" t="n">
        <v>25</v>
      </c>
      <c r="B51" s="67" t="s">
        <v>1234</v>
      </c>
      <c r="C51" s="9" t="s">
        <v>1334</v>
      </c>
      <c r="D51" s="9" t="s">
        <v>1335</v>
      </c>
      <c r="E51" s="10" t="s">
        <v>1336</v>
      </c>
    </row>
    <row r="52" customFormat="false" ht="39.55" hidden="false" customHeight="false" outlineLevel="0" collapsed="false">
      <c r="A52" s="59" t="n">
        <v>20</v>
      </c>
      <c r="B52" s="67" t="s">
        <v>1218</v>
      </c>
      <c r="C52" s="9" t="s">
        <v>1337</v>
      </c>
      <c r="D52" s="9" t="s">
        <v>1338</v>
      </c>
      <c r="E52" s="9" t="s">
        <v>1339</v>
      </c>
    </row>
    <row r="53" customFormat="false" ht="26.85" hidden="false" customHeight="false" outlineLevel="0" collapsed="false">
      <c r="A53" s="59" t="n">
        <v>21</v>
      </c>
      <c r="B53" s="67" t="s">
        <v>1218</v>
      </c>
      <c r="C53" s="9" t="s">
        <v>1340</v>
      </c>
      <c r="D53" s="9" t="s">
        <v>1341</v>
      </c>
      <c r="E53" s="9" t="s">
        <v>1342</v>
      </c>
    </row>
    <row r="54" customFormat="false" ht="39.55" hidden="false" customHeight="false" outlineLevel="0" collapsed="false">
      <c r="A54" s="59" t="n">
        <v>16</v>
      </c>
      <c r="B54" s="67" t="s">
        <v>1234</v>
      </c>
      <c r="C54" s="9" t="s">
        <v>1343</v>
      </c>
      <c r="D54" s="9" t="s">
        <v>1344</v>
      </c>
      <c r="E54" s="9" t="s">
        <v>1345</v>
      </c>
    </row>
    <row r="55" customFormat="false" ht="39.55" hidden="false" customHeight="false" outlineLevel="0" collapsed="false">
      <c r="A55" s="59" t="n">
        <v>17</v>
      </c>
      <c r="B55" s="67" t="s">
        <v>1218</v>
      </c>
      <c r="C55" s="9" t="s">
        <v>1346</v>
      </c>
      <c r="D55" s="9" t="s">
        <v>1347</v>
      </c>
      <c r="E55" s="9" t="s">
        <v>1348</v>
      </c>
    </row>
    <row r="56" customFormat="false" ht="39.55" hidden="false" customHeight="false" outlineLevel="0" collapsed="false">
      <c r="A56" s="59" t="n">
        <v>18</v>
      </c>
      <c r="B56" s="67" t="s">
        <v>496</v>
      </c>
      <c r="C56" s="9" t="s">
        <v>1349</v>
      </c>
      <c r="D56" s="9" t="s">
        <v>1350</v>
      </c>
      <c r="E56" s="9" t="s">
        <v>1351</v>
      </c>
    </row>
    <row r="57" customFormat="false" ht="26.85" hidden="false" customHeight="false" outlineLevel="0" collapsed="false">
      <c r="A57" s="59" t="n">
        <v>19</v>
      </c>
      <c r="B57" s="67" t="s">
        <v>1234</v>
      </c>
      <c r="C57" s="9" t="s">
        <v>1352</v>
      </c>
      <c r="D57" s="9" t="s">
        <v>1353</v>
      </c>
      <c r="E57" s="9" t="s">
        <v>1354</v>
      </c>
    </row>
    <row r="58" customFormat="false" ht="39.55" hidden="false" customHeight="false" outlineLevel="0" collapsed="false">
      <c r="A58" s="59" t="n">
        <v>15</v>
      </c>
      <c r="B58" s="67" t="s">
        <v>1234</v>
      </c>
      <c r="C58" s="9" t="s">
        <v>1355</v>
      </c>
      <c r="D58" s="9" t="s">
        <v>1356</v>
      </c>
      <c r="E58" s="9" t="s">
        <v>1357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2026-08-19T15:35:59Z</dcterms:created>
  <dc:creator>openpyxl</dc:creator>
  <dc:description/>
  <dc:language>en-US</dc:language>
  <cp:lastModifiedBy/>
  <dcterms:modified xsi:type="dcterms:W3CDTF">2026-08-19T15:35:59Z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