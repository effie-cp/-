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전속 제도" sheetId="1" state="visible" r:id="rId3"/>
    <sheet name="2. 비전속 제도" sheetId="2" state="visible" r:id="rId4"/>
    <sheet name="3. 정산 단가" sheetId="3" state="visible" r:id="rId5"/>
    <sheet name="4. 등급표" sheetId="4" state="visible" r:id="rId6"/>
    <sheet name="5. 출처·미확인" sheetId="5" state="visible" r:id="rId7"/>
    <sheet name="6. 시사점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<sst xmlns="http://schemas.openxmlformats.org/spreadsheetml/2006/main" count="2168" uniqueCount="1221">
  <si>
    <t xml:space="preserve">전속 크리에이터 제도 비교 — 자사에만 작품을 올리는 조건의 크리에이터 단위 계약</t>
  </si>
  <si>
    <r>
      <rPr>
        <i val="true"/>
        <sz val="9"/>
        <color rgb="FF595959"/>
        <rFont val="WenQuanYi Zen Hei"/>
        <family val="2"/>
      </rPr>
      <t xml:space="preserve">조사일 </t>
    </r>
    <r>
      <rPr>
        <i val="true"/>
        <sz val="9"/>
        <color rgb="FF595959"/>
        <rFont val="맑은 고딕"/>
        <family val="0"/>
        <charset val="1"/>
      </rPr>
      <t xml:space="preserve">2026-08-19 · </t>
    </r>
    <r>
      <rPr>
        <i val="true"/>
        <sz val="9"/>
        <color rgb="FF595959"/>
        <rFont val="WenQuanYi Zen Hei"/>
        <family val="2"/>
      </rPr>
      <t xml:space="preserve">각 플랫폼 공식 안내 문서 기준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근거 등급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공식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제보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추정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미확인</t>
    </r>
  </si>
  <si>
    <r>
      <rPr>
        <i val="true"/>
        <sz val="9"/>
        <color rgb="FF595959"/>
        <rFont val="WenQuanYi Zen Hei"/>
        <family val="2"/>
      </rPr>
      <t xml:space="preserve">※ 루나톡은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공식 크리에이터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라는 이름을 쓰지만 독점을 요구하지 않습니다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성격이 다르므로 구분해서 읽어주세요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</si>
  <si>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항목</t>
  </si>
  <si>
    <t xml:space="preserve">케이브덕</t>
  </si>
  <si>
    <t xml:space="preserve">베이비챗</t>
  </si>
  <si>
    <t xml:space="preserve">스토리엔진</t>
  </si>
  <si>
    <t xml:space="preserve">루나톡</t>
  </si>
  <si>
    <t xml:space="preserve">에덴챗</t>
  </si>
  <si>
    <t xml:space="preserve">페이브챗</t>
  </si>
  <si>
    <t xml:space="preserve">엘린</t>
  </si>
  <si>
    <t xml:space="preserve">젠잇</t>
  </si>
  <si>
    <t xml:space="preserve">플레이툰</t>
  </si>
  <si>
    <t xml:space="preserve">챗플</t>
  </si>
  <si>
    <t xml:space="preserve">위프</t>
  </si>
  <si>
    <t xml:space="preserve">둠칫</t>
  </si>
  <si>
    <t xml:space="preserve">티팟</t>
  </si>
  <si>
    <t xml:space="preserve">우마이</t>
  </si>
  <si>
    <t xml:space="preserve">유니챗</t>
  </si>
  <si>
    <t xml:space="preserve">이세계트럭</t>
  </si>
  <si>
    <t xml:space="preserve">팅글</t>
  </si>
  <si>
    <t xml:space="preserve">제도명</t>
  </si>
  <si>
    <t xml:space="preserve">공식 크리에이터</t>
  </si>
  <si>
    <t xml:space="preserve">파트너 크리에이터 프로그램</t>
  </si>
  <si>
    <r>
      <rPr>
        <sz val="10"/>
        <rFont val="WenQuanYi Zen Hei"/>
        <family val="2"/>
      </rPr>
      <t xml:space="preserve">공식 크리에이터 지원 제도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메테오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슈퍼노바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어스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</si>
  <si>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제도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</si>
  <si>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커미션 요율 등급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</si>
  <si>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단위 전속 제도 없음 — 작품 단위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퍼블리싱 프로그램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운영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독점작 항목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</si>
  <si>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</si>
  <si>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타이틀 작가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활동 실적 기반 등급제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</t>
    </r>
    <r>
      <rPr>
        <sz val="10"/>
        <rFont val="맑은 고딕"/>
        <family val="0"/>
        <charset val="1"/>
      </rPr>
      <t xml:space="preserve">·4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</si>
  <si>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'·'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작품 단위 제도가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</si>
  <si>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캐릭터별 독점 전환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</si>
  <si>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인증 크리에이터</t>
  </si>
  <si>
    <t xml:space="preserve">확인된 전속 제도 없음</t>
  </si>
  <si>
    <r>
      <rPr>
        <sz val="10"/>
        <rFont val="WenQuanYi Zen Hei"/>
        <family val="2"/>
      </rPr>
      <t xml:space="preserve">확인된 공식 크리에이터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전속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</si>
  <si>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리워드 정산 자격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</si>
  <si>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독점 요구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</si>
  <si>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신규작 단위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</si>
  <si>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전면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</si>
  <si>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</si>
  <si>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</si>
  <si>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미확인</t>
  </si>
  <si>
    <r>
      <rPr>
        <sz val="10"/>
        <rFont val="WenQuanYi Zen Hei"/>
        <family val="2"/>
      </rPr>
      <t xml:space="preserve">작품 단위 </t>
    </r>
    <r>
      <rPr>
        <sz val="10"/>
        <rFont val="맑은 고딕"/>
        <family val="0"/>
        <charset val="1"/>
      </rPr>
      <t xml:space="preserve">O / </t>
    </r>
    <r>
      <rPr>
        <sz val="10"/>
        <rFont val="WenQuanYi Zen Hei"/>
        <family val="2"/>
      </rPr>
      <t xml:space="preserve">크리에이터 단위 </t>
    </r>
    <r>
      <rPr>
        <sz val="10"/>
        <rFont val="맑은 고딕"/>
        <family val="0"/>
        <charset val="1"/>
      </rPr>
      <t xml:space="preserve">X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</si>
  <si>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공식 크리에이터 자체에는 독점 조건이 붙지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독점은 작품 단위 제도로 분리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</si>
  <si>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남으면서 캐릭터별로만 독점 전환하는 선택지도 있음</t>
    </r>
  </si>
  <si>
    <t xml:space="preserve">미확인 — 문서에 독점 조건 언급 없음</t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</si>
  <si>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문서상 독점 조건 없음</t>
    </r>
  </si>
  <si>
    <t xml:space="preserve">모집 방식</t>
  </si>
  <si>
    <t xml:space="preserve">상시 공개 신청</t>
  </si>
  <si>
    <r>
      <rPr>
        <sz val="10"/>
        <rFont val="WenQuanYi Zen Hei"/>
        <family val="2"/>
      </rPr>
      <t xml:space="preserve">초대 전용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신청 폼 없음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상시 발굴제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</si>
  <si>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모집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디스코드 접수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</si>
  <si>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기수제 공개 모집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등급별 인원 제한 </t>
    </r>
    <r>
      <rPr>
        <sz val="10"/>
        <rFont val="맑은 고딕"/>
        <family val="0"/>
        <charset val="1"/>
      </rPr>
      <t xml:space="preserve">10/10/5/10/5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</si>
  <si>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크리에이터 지원팀이 작품 선정 후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 및 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</si>
  <si>
    <r>
      <rPr>
        <sz val="10"/>
        <rFont val="WenQuanYi Zen Hei"/>
        <family val="2"/>
      </rPr>
      <t xml:space="preserve">해당 없음 — 인증 조건 자체가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</si>
  <si>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계약 기반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구체적 방식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</si>
  <si>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신청 불가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둠칫 오리지널 계약 체결 시 자동 선정 ② 콘테스트 수상 시 운영팀 검토 후 제안 ③ 운영팀 추천</t>
    </r>
  </si>
  <si>
    <r>
      <rPr>
        <sz val="10"/>
        <rFont val="WenQuanYi Zen Hei"/>
        <family val="2"/>
      </rPr>
      <t xml:space="preserve">셀프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계약 시 독점 등급 선택</t>
    </r>
  </si>
  <si>
    <t xml:space="preserve">신청 조건</t>
  </si>
  <si>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공개된 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 이상</t>
    </r>
  </si>
  <si>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누적채팅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타이틀과 무관하게 후보 가능</t>
    </r>
  </si>
  <si>
    <r>
      <rPr>
        <sz val="10"/>
        <rFont val="WenQuanYi Zen Hei"/>
        <family val="2"/>
      </rPr>
      <t xml:space="preserve">스토리엔진 제작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 이상</t>
    </r>
  </si>
  <si>
    <r>
      <rPr>
        <sz val="10"/>
        <rFont val="WenQuanYi Zen Hei"/>
        <family val="2"/>
      </rPr>
      <t xml:space="preserve">공통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루나톡에서 활동중이거나 활동 예정인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플랫폼 활동작가</t>
    </r>
    <r>
      <rPr>
        <sz val="10"/>
        <rFont val="맑은 고딕"/>
        <family val="0"/>
        <charset val="1"/>
      </rPr>
      <t xml:space="preserve">' + </t>
    </r>
    <r>
      <rPr>
        <sz val="10"/>
        <rFont val="WenQuanYi Zen Hei"/>
        <family val="2"/>
      </rPr>
      <t xml:space="preserve">루나톡 제작 작품 총 채팅수 </t>
    </r>
    <r>
      <rPr>
        <sz val="10"/>
        <rFont val="맑은 고딕"/>
        <family val="0"/>
        <charset val="1"/>
      </rPr>
      <t xml:space="preserve">7K </t>
    </r>
    <r>
      <rPr>
        <sz val="10"/>
        <rFont val="WenQuanYi Zen Hei"/>
        <family val="2"/>
      </rPr>
      <t xml:space="preserve">이상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대화수 </t>
    </r>
    <r>
      <rPr>
        <sz val="10"/>
        <rFont val="맑은 고딕"/>
        <family val="0"/>
        <charset val="1"/>
      </rPr>
      <t xml:space="preserve">10~80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1~10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50~300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</si>
  <si>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작품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젠잇에서만 공개된 작품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 주로 활동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안정성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이력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</si>
  <si>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품질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기능 활용도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커뮤니티 기여도 등을 종합 판단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정량 기준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</si>
  <si>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(10,000)</t>
    </r>
    <r>
      <rPr>
        <sz val="10"/>
        <rFont val="WenQuanYi Zen Hei"/>
        <family val="2"/>
      </rPr>
      <t xml:space="preserve">회 이상인 캐릭터가 하나라도 있으면 신청 가능</t>
    </r>
  </si>
  <si>
    <t xml:space="preserve">심사 방식</t>
  </si>
  <si>
    <r>
      <rPr>
        <sz val="10"/>
        <rFont val="WenQuanYi Zen Hei"/>
        <family val="2"/>
      </rPr>
      <t xml:space="preserve">관리자 검수 → 신청 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이내 고객센터 통해 선정 여부 통보</t>
    </r>
  </si>
  <si>
    <r>
      <rPr>
        <sz val="10"/>
        <rFont val="WenQuanYi Zen Hei"/>
        <family val="2"/>
      </rPr>
      <t xml:space="preserve">운영진 상시 모니터링 → 정성 평가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독창성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완성도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개별 연락 → 협의 → 계약 체결</t>
    </r>
  </si>
  <si>
    <t xml:space="preserve">명시 없음</t>
  </si>
  <si>
    <t xml:space="preserve">지원팀 선정 → 개별 연락 → 별도 계약</t>
  </si>
  <si>
    <t xml:space="preserve">운영팀 검토 → 제안</t>
  </si>
  <si>
    <r>
      <rPr>
        <sz val="10"/>
        <rFont val="WenQuanYi Zen Hei"/>
        <family val="2"/>
      </rPr>
      <t xml:space="preserve">신청 → 운영진 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며칠 소요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가입 이메일로 전자계약서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발송 → 전자서명 완료 시 계약 활성화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계좌는 서명 단계에서 입력</t>
    </r>
  </si>
  <si>
    <t xml:space="preserve">이주 크리에이터 트랙</t>
  </si>
  <si>
    <t xml:space="preserve">없음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</si>
  <si>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타 플랫폼 실적으로 지원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/800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메테오는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</si>
  <si>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서비스 작품을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삭제해서 만든 형태는 대상으로 인정하지 않음</t>
    </r>
  </si>
  <si>
    <t xml:space="preserve">독점 범위</t>
  </si>
  <si>
    <r>
      <rPr>
        <sz val="10"/>
        <rFont val="WenQuanYi Zen Hei"/>
        <family val="2"/>
      </rPr>
      <t xml:space="preserve">신규 공개 캐릭터는 전부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로만 업로드 — 타 플랫폼 업로드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공식 선정 이전 캐릭터의 전환은 선택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게시분은 전환 불가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타 플랫폼 활동 자체는 금지하지 않으나 케이브덕을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주력 플랫폼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활동해야 하며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리메이크 캐릭터는 업로드 제한</t>
    </r>
  </si>
  <si>
    <r>
      <rPr>
        <sz val="10"/>
        <rFont val="맑은 고딕"/>
        <family val="0"/>
        <charset val="1"/>
      </rPr>
      <t xml:space="preserve">'B Only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모든 활동을 베이비챗에서만 선보임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 전면 전속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</si>
  <si>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스토리엔진과 유사하게 캐릭터챗 서비스를 제공하는 플랫폼을 오직 스토리엔진만 사용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경쟁 플랫폼 전면 금지</t>
    </r>
  </si>
  <si>
    <r>
      <rPr>
        <sz val="10"/>
        <rFont val="WenQuanYi Zen Hei"/>
        <family val="2"/>
      </rPr>
      <t xml:space="preserve">독점 요구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플랫폼 활동작가를 명시적 모집 대상으로 삼음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</si>
  <si>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제약이 하나도 없다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전언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독점을 포함한 제한 조항이 확인되지 않음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 미공개로 검증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</si>
  <si>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서비스에 올렸던 작품을 내려서 요건을 맞추는 것은 불인정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크리에이터의 타 플랫폼 활동 자체는 금지하지 않음 — 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우대 조건</t>
    </r>
  </si>
  <si>
    <t xml:space="preserve">해당 없음 — 공식 크리에이터는 독점을 요구하지 않음</t>
  </si>
  <si>
    <r>
      <rPr>
        <sz val="10"/>
        <rFont val="WenQuanYi Zen Hei"/>
        <family val="2"/>
      </rPr>
      <t xml:space="preserve">경쟁 서비스 신규 등록 불가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기존 등록 업데이트 중단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캐릭터 공개 운영이 전제이며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외 상태로 전환 시 계약 전체가 해지될 수 있음</t>
    </r>
  </si>
  <si>
    <t xml:space="preserve">독점 기간</t>
  </si>
  <si>
    <r>
      <rPr>
        <sz val="10"/>
        <rFont val="WenQuanYi Zen Hei"/>
        <family val="2"/>
      </rPr>
      <t xml:space="preserve">영구 — 공식 크리에이터의 오리지널 캐릭터는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이후에도 해제 불가</t>
    </r>
  </si>
  <si>
    <t xml:space="preserve">미공개</t>
  </si>
  <si>
    <t xml:space="preserve">미명시</t>
  </si>
  <si>
    <t xml:space="preserve">해당 없음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</si>
  <si>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 계약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</si>
  <si>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자동 갱신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자유 크리에이터는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  <r>
      <rPr>
        <sz val="10"/>
        <rFont val="맑은 고딕"/>
        <family val="0"/>
        <charset val="1"/>
      </rPr>
      <t xml:space="preserve">)</t>
    </r>
  </si>
  <si>
    <t xml:space="preserve">정산 우대</t>
  </si>
  <si>
    <r>
      <rPr>
        <sz val="10"/>
        <rFont val="WenQuanYi Zen Hei"/>
        <family val="2"/>
      </rPr>
      <t xml:space="preserve">① 채팅 인센티브 일반 대비 </t>
    </r>
    <r>
      <rPr>
        <sz val="10"/>
        <rFont val="맑은 고딕"/>
        <family val="0"/>
        <charset val="1"/>
      </rPr>
      <t xml:space="preserve">+2pt (Opus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+10%, </t>
    </r>
    <r>
      <rPr>
        <sz val="10"/>
        <rFont val="WenQuanYi Zen Hei"/>
        <family val="2"/>
      </rPr>
      <t xml:space="preserve">저가 모델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종은 </t>
    </r>
    <r>
      <rPr>
        <sz val="10"/>
        <rFont val="맑은 고딕"/>
        <family val="0"/>
        <charset val="1"/>
      </rPr>
      <t xml:space="preserve">0%)
② </t>
    </r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→ 10%
③ </t>
    </r>
    <r>
      <rPr>
        <sz val="10"/>
        <rFont val="WenQuanYi Zen Hei"/>
        <family val="2"/>
      </rPr>
      <t xml:space="preserve">최대 출금 한도 상향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수치 충돌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출처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</si>
  <si>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수준의 특별 정산 비율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적용이라고만 서술 — 구체 수치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하이퍼 타이틀 전 혜택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B Only 20%)</t>
    </r>
    <r>
      <rPr>
        <sz val="10"/>
        <rFont val="WenQuanYi Zen Hei"/>
        <family val="2"/>
      </rPr>
      <t xml:space="preserve">을 기본 제공 </t>
    </r>
    <r>
      <rPr>
        <sz val="10"/>
        <rFont val="맑은 고딕"/>
        <family val="0"/>
        <charset val="1"/>
      </rPr>
      <t xml:space="preserve">+ α</t>
    </r>
  </si>
  <si>
    <t xml:space="preserve">없음 — 혜택 목록에 요율 인상 항목이 존재하지 않음</t>
  </si>
  <si>
    <r>
      <rPr>
        <sz val="10"/>
        <rFont val="WenQuanYi Zen Hei"/>
        <family val="2"/>
      </rPr>
      <t xml:space="preserve">후원 포인트 크리에이터 몫 </t>
    </r>
    <r>
      <rPr>
        <sz val="10"/>
        <rFont val="맑은 고딕"/>
        <family val="0"/>
        <charset val="1"/>
      </rPr>
      <t xml:space="preserve">90% / 95% / 97% / 97%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채팅 자체의 정산 구조는 자료 범위 밖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</si>
  <si>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정형화된 요율표가 없는 것으로 보임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 방식이라 비율 파악 자체가 불가</t>
    </r>
  </si>
  <si>
    <r>
      <rPr>
        <sz val="10"/>
        <rFont val="WenQuanYi Zen Hei"/>
        <family val="2"/>
      </rPr>
      <t xml:space="preserve">미확인 —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②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수익 분배의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시기는 회사가 별도로 정하는 운영정책에 따름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제작자의 참여 등급 및 계약 조건에 따라 달리 적용될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구체적 비율은 제작자 프로그램 운영정책 또는 개별 제작자 계약에서 정함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</si>
  <si>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유료 사용 금액의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). 20%</t>
    </r>
    <r>
      <rPr>
        <sz val="10"/>
        <rFont val="WenQuanYi Zen Hei"/>
        <family val="2"/>
      </rPr>
      <t xml:space="preserve">에서 시작해 사업화 성과에 따라 상향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2~10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</si>
  <si>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미확인 — 정산 비율 관련 공개 자료 없음</t>
  </si>
  <si>
    <r>
      <rPr>
        <sz val="10"/>
        <rFont val="WenQuanYi Zen Hei"/>
        <family val="2"/>
      </rPr>
      <t xml:space="preserve">인센티브 비율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티어 비율에 가산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티어 최대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와 합치면 </t>
    </r>
    <r>
      <rPr>
        <sz val="10"/>
        <rFont val="맑은 고딕"/>
        <family val="0"/>
        <charset val="1"/>
      </rPr>
      <t xml:space="preserve">17%, </t>
    </r>
    <r>
      <rPr>
        <sz val="10"/>
        <rFont val="WenQuanYi Zen Hei"/>
        <family val="2"/>
      </rPr>
      <t xml:space="preserve">여기에 독점공개</t>
    </r>
    <r>
      <rPr>
        <sz val="10"/>
        <rFont val="맑은 고딕"/>
        <family val="0"/>
        <charset val="1"/>
      </rPr>
      <t xml:space="preserve">(+3%) </t>
    </r>
    <r>
      <rPr>
        <sz val="10"/>
        <rFont val="WenQuanYi Zen Hei"/>
        <family val="2"/>
      </rPr>
      <t xml:space="preserve">또는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을 얹으면 </t>
    </r>
    <r>
      <rPr>
        <sz val="10"/>
        <rFont val="맑은 고딕"/>
        <family val="0"/>
        <charset val="1"/>
      </rPr>
      <t xml:space="preserve">20~22%</t>
    </r>
  </si>
  <si>
    <r>
      <rPr>
        <sz val="10"/>
        <rFont val="WenQuanYi Zen Hei"/>
        <family val="2"/>
      </rPr>
      <t xml:space="preserve">유료 리프 사용액의 </t>
    </r>
    <r>
      <rPr>
        <sz val="10"/>
        <rFont val="맑은 고딕"/>
        <family val="0"/>
        <charset val="1"/>
      </rPr>
      <t xml:space="preserve">12% — </t>
    </r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조사 대상 중 전속 프리미엄을 가장 명확한 숫자로 공개한 사례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적립률은 적립 시점 기준이며 전환해도 기존 인센티브는 소급 재계산되지 않음</t>
    </r>
  </si>
  <si>
    <r>
      <rPr>
        <sz val="10"/>
        <rFont val="WenQuanYi Zen Hei"/>
        <family val="2"/>
      </rPr>
      <t xml:space="preserve">유료 캐롯 소모액의 </t>
    </r>
    <r>
      <rPr>
        <sz val="10"/>
        <rFont val="맑은 고딕"/>
        <family val="0"/>
        <charset val="1"/>
      </rPr>
      <t xml:space="preserve">8% (~12%) — </t>
    </r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1.6~2.4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예정된 정산율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확정 전 단계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추후 미션 완료율에 따라 더 지급할 수 있는 구조를 논의 중</t>
    </r>
  </si>
  <si>
    <r>
      <rPr>
        <sz val="10"/>
        <rFont val="WenQuanYi Zen Hei"/>
        <family val="2"/>
      </rPr>
      <t xml:space="preserve">해당 없음 — 등급 구분 없이 제작자 단위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요율</t>
    </r>
  </si>
  <si>
    <r>
      <rPr>
        <sz val="10"/>
        <rFont val="WenQuanYi Zen Hei"/>
        <family val="2"/>
      </rPr>
      <t xml:space="preserve">해당 없음 — 등급 구분 없이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표기</t>
    </r>
  </si>
  <si>
    <r>
      <rPr>
        <sz val="10"/>
        <rFont val="WenQuanYi Zen Hei"/>
        <family val="2"/>
      </rPr>
      <t xml:space="preserve">해당 없음 — 등급 구분 없이 수익배분율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단일 요율</t>
    </r>
  </si>
  <si>
    <t xml:space="preserve">사이닝 보너스</t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</si>
  <si>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</si>
  <si>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웰컴키트 — 수첩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볼펜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마스코트 키링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아크릴스탠드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머그컵</t>
    </r>
    <r>
      <rPr>
        <sz val="10"/>
        <rFont val="맑은 고딕"/>
        <family val="0"/>
        <charset val="1"/>
      </rPr>
      <t xml:space="preserve">, GeForce RTX 5060 Ti 16GB </t>
    </r>
    <r>
      <rPr>
        <sz val="10"/>
        <rFont val="WenQuanYi Zen Hei"/>
        <family val="2"/>
      </rPr>
      <t xml:space="preserve">그래픽카드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불필요 시 대체 가능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</si>
  <si>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초회 한정 달성 보상 루나톡 </t>
    </r>
    <r>
      <rPr>
        <sz val="10"/>
        <rFont val="맑은 고딕"/>
        <family val="0"/>
        <charset val="1"/>
      </rPr>
      <t xml:space="preserve">50,000P / 100,000P / 200,000P (</t>
    </r>
    <r>
      <rPr>
        <sz val="10"/>
        <rFont val="WenQuanYi Zen Hei"/>
        <family val="2"/>
      </rPr>
      <t xml:space="preserve">어스까지 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등급 미표기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기 특별</t>
    </r>
    <r>
      <rPr>
        <sz val="10"/>
        <rFont val="맑은 고딕"/>
        <family val="0"/>
        <charset val="1"/>
      </rPr>
      <t xml:space="preserve">: 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</si>
  <si>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WenQuanYi Zen Hei"/>
        <family val="2"/>
      </rPr>
      <t xml:space="preserve">별도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채팅수 달성 지원금이 병행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,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일시 지급 </t>
    </r>
    <r>
      <rPr>
        <sz val="10"/>
        <rFont val="맑은 고딕"/>
        <family val="0"/>
        <charset val="1"/>
      </rPr>
      <t xml:space="preserve">(26.08.31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</si>
  <si>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계약 시에는 작품 계약금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</si>
  <si>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노출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마케팅</t>
    </r>
  </si>
  <si>
    <r>
      <rPr>
        <sz val="10"/>
        <rFont val="WenQuanYi Zen Hei"/>
        <family val="2"/>
      </rPr>
      <t xml:space="preserve">메인 페이지 내 공식 크리에이터 전용 섹션 신설 및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페이지 공식 뱃지</t>
    </r>
  </si>
  <si>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프로필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전담 채널 통한 최우선 마케팅 지원</t>
    </r>
  </si>
  <si>
    <r>
      <rPr>
        <sz val="10"/>
        <rFont val="WenQuanYi Zen Hei"/>
        <family val="2"/>
      </rPr>
      <t xml:space="preserve">파트너 전용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배너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라이브 광고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커뮤니티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홍보</t>
    </r>
    <r>
      <rPr>
        <sz val="10"/>
        <rFont val="맑은 고딕"/>
        <family val="0"/>
        <charset val="1"/>
      </rPr>
      <t xml:space="preserve">, SFW 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유입 시 추천 마케팅 비용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인증 배지</t>
    </r>
  </si>
  <si>
    <r>
      <rPr>
        <sz val="10"/>
        <rFont val="WenQuanYi Zen Hei"/>
        <family val="2"/>
      </rPr>
      <t xml:space="preserve">등급별 엠블럼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추천작품 기재 및 배너 홍보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상위 등급은 우선 지원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공식 행사 초대 및 우대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</si>
  <si>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채팅수 달성 시 구글 광고 등 외부 광고 집행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내용은 크리에이터 사전 승인 후 진행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랭킹 상위노출 유리</t>
    </r>
  </si>
  <si>
    <r>
      <rPr>
        <sz val="10"/>
        <rFont val="WenQuanYi Zen Hei"/>
        <family val="2"/>
      </rPr>
      <t xml:space="preserve">공식 배지 프로필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</si>
  <si>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r>
      <rPr>
        <b val="true"/>
        <sz val="10"/>
        <rFont val="WenQuanYi Zen Hei"/>
        <family val="2"/>
      </rPr>
      <t xml:space="preserve">제작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기술 지원</t>
    </r>
  </si>
  <si>
    <r>
      <rPr>
        <sz val="10"/>
        <rFont val="WenQuanYi Zen Hei"/>
        <family val="2"/>
      </rPr>
      <t xml:space="preserve">신규 모델 및 기능 테스트 우선 참여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캐릭터 제작 시 이미지 재분류 프리 패스</t>
    </r>
  </si>
  <si>
    <r>
      <rPr>
        <sz val="10"/>
        <rFont val="WenQuanYi Zen Hei"/>
        <family val="2"/>
      </rPr>
      <t xml:space="preserve">신규 기능 기획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개발 참여 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테스트 우선 참여</t>
    </r>
  </si>
  <si>
    <r>
      <rPr>
        <sz val="10"/>
        <rFont val="WenQuanYi Zen Hei"/>
        <family val="2"/>
      </rPr>
      <t xml:space="preserve">챗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테스트용 크레딧 지원</t>
    </r>
    <r>
      <rPr>
        <sz val="10"/>
        <rFont val="맑은 고딕"/>
        <family val="0"/>
        <charset val="1"/>
      </rPr>
      <t xml:space="preserve">, Novel AI </t>
    </r>
    <r>
      <rPr>
        <sz val="10"/>
        <rFont val="WenQuanYi Zen Hei"/>
        <family val="2"/>
      </rPr>
      <t xml:space="preserve">연간 구독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챗 전용 신규 웹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앱 얼리 액세스</t>
    </r>
  </si>
  <si>
    <r>
      <rPr>
        <sz val="10"/>
        <rFont val="맑은 고딕"/>
        <family val="0"/>
        <charset val="1"/>
      </rPr>
      <t xml:space="preserve">NovelAI OPUS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스탠다드→상위 등급 프리미엄</t>
    </r>
    <r>
      <rPr>
        <sz val="10"/>
        <rFont val="맑은 고딕"/>
        <family val="0"/>
        <charset val="1"/>
      </rPr>
      <t xml:space="preserve">), ITIMG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10~100GB, </t>
    </r>
    <r>
      <rPr>
        <sz val="10"/>
        <rFont val="WenQuanYi Zen Hei"/>
        <family val="2"/>
      </rPr>
      <t xml:space="preserve">스테이블 디퓨전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BGM 3~30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완전 오리지널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프롬프트 기술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이상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신규 기능 얼리액세스</t>
    </r>
  </si>
  <si>
    <r>
      <rPr>
        <sz val="10"/>
        <rFont val="맑은 고딕"/>
        <family val="0"/>
        <charset val="1"/>
      </rPr>
      <t xml:space="preserve">NovelAI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포토샵 등 여러 구독형 서비스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스토리지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제작자별 맞춤형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지원</t>
    </r>
  </si>
  <si>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100</t>
    </r>
    <r>
      <rPr>
        <sz val="10"/>
        <rFont val="WenQuanYi Zen Hei"/>
        <family val="2"/>
      </rPr>
      <t xml:space="preserve">만 채팅 달성 시 전담 편집자 배정</t>
    </r>
  </si>
  <si>
    <r>
      <rPr>
        <sz val="10"/>
        <rFont val="WenQuanYi Zen Hei"/>
        <family val="2"/>
      </rPr>
      <t xml:space="preserve">제작 도구 신기능 우선 체험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기획형 콘텐츠 제작 시 운영팀 우선 협업</t>
    </r>
  </si>
  <si>
    <t xml:space="preserve">사업 확장 지원</t>
  </si>
  <si>
    <r>
      <rPr>
        <sz val="10"/>
        <rFont val="WenQuanYi Zen Hei"/>
        <family val="2"/>
      </rPr>
      <t xml:space="preserve">글로벌 동시 진출 및 번역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현지화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일본 런칭 완료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글로벌 서비스 기획 참여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사업화 우선 협상 및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파트너십 전담 담당자 배정</t>
    </r>
  </si>
  <si>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북미 현지화 무료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포함</t>
    </r>
    <r>
      <rPr>
        <sz val="10"/>
        <rFont val="맑은 고딕"/>
        <family val="0"/>
        <charset val="1"/>
      </rPr>
      <t xml:space="preserve">), IP </t>
    </r>
    <r>
      <rPr>
        <sz val="10"/>
        <rFont val="WenQuanYi Zen Hei"/>
        <family val="2"/>
      </rPr>
      <t xml:space="preserve">기반 애니메이션 제작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분기별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굿즈 무료 제작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다른 크리에이터와 협업 및 수익 쉐어</t>
    </r>
  </si>
  <si>
    <r>
      <rPr>
        <sz val="10"/>
        <rFont val="WenQuanYi Zen Hei"/>
        <family val="2"/>
      </rPr>
      <t xml:space="preserve">공식 굿즈 제작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어스 한정 → 상위 확정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여행 지원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풀문 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</si>
  <si>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대작 지원 프로그램으로 승격 —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믹스 및 스타 크리에이터 브랜딩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</si>
  <si>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 도구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유저 반응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정책에 대한 제작자 관점 피드백 우선 반영</t>
    </r>
  </si>
  <si>
    <t xml:space="preserve">유지 조건</t>
  </si>
  <si>
    <r>
      <rPr>
        <sz val="10"/>
        <rFont val="WenQuanYi Zen Hei"/>
        <family val="2"/>
      </rPr>
      <t xml:space="preserve">오리지널 캐릭터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(3,000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캐릭터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링크공개는 집계 제외</t>
    </r>
    <r>
      <rPr>
        <sz val="10"/>
        <rFont val="맑은 고딕"/>
        <family val="0"/>
        <charset val="1"/>
      </rPr>
      <t xml:space="preserve">.
6</t>
    </r>
    <r>
      <rPr>
        <sz val="10"/>
        <rFont val="WenQuanYi Zen Hei"/>
        <family val="2"/>
      </rPr>
      <t xml:space="preserve">개월에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유지 조건 유예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신청</t>
    </r>
    <r>
      <rPr>
        <sz val="10"/>
        <rFont val="맑은 고딕"/>
        <family val="0"/>
        <charset val="1"/>
      </rPr>
      <t xml:space="preserve">)</t>
    </r>
  </si>
  <si>
    <t xml:space="preserve">공식 크리에이터 취지에 맞는 활동 지속</t>
  </si>
  <si>
    <r>
      <rPr>
        <sz val="10"/>
        <rFont val="WenQuanYi Zen Hei"/>
        <family val="2"/>
      </rPr>
      <t xml:space="preserve">전 캐릭터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유지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신청한 캐릭터는 입금받는 달까지 공개를 유지해야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처리 시점에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링크공개면 해당 캐릭터 몫은 반려되고 인센티브로 전액 복원</t>
    </r>
  </si>
  <si>
    <t xml:space="preserve">위반 시 제재</t>
  </si>
  <si>
    <t xml:space="preserve">① 공식 크리에이터 기간 내 적립된 인센티브 회수
② 크리에이터 활동 일정 기간 제재
③ 자격 박탈 및 추후 신청 시 패널티 부과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</si>
  <si>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 한정 조항만 공개 — 침해 확인 시 미지급 수익 지급 중단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기지급 수익 환수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침해 콘텐츠와 직접 연관된 수익으로 한정하고 환수 결정 전 소명 기회 부여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</si>
  <si>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타인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무단 도용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운영 정책 반복 위반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신의성실 원칙 위반 및 서비스 악영향 행위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조항은 명시 없음</t>
    </r>
  </si>
  <si>
    <r>
      <rPr>
        <sz val="10"/>
        <rFont val="WenQuanYi Zen Hei"/>
        <family val="2"/>
      </rPr>
      <t xml:space="preserve">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가이드라인 위반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회 누적 →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중대 위반 → 즉시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취지에 맞지 않는 활동 지속 → 운영팀 검토 후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 요청 → 해제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공식 크리에이터 해제에는 환수 조항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</si>
  <si>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계약 해지 시에도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 — 현금 정산만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단 캐릭터를 비공개로 전환하면 유예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후 계약 자동 해지 </t>
    </r>
    <r>
      <rPr>
        <sz val="10"/>
        <rFont val="맑은 고딕"/>
        <family val="0"/>
        <charset val="1"/>
      </rPr>
      <t xml:space="preserve">+ 3</t>
    </r>
    <r>
      <rPr>
        <sz val="10"/>
        <rFont val="WenQuanYi Zen Hei"/>
        <family val="2"/>
      </rPr>
      <t xml:space="preserve">개월간 그 캐릭터의 현금 정산 제한</t>
    </r>
  </si>
  <si>
    <r>
      <rPr>
        <sz val="10"/>
        <rFont val="WenQuanYi Zen Hei"/>
        <family val="2"/>
      </rPr>
      <t xml:space="preserve">제작 규정 위반으로 블락 처리된 애셋은 정산 대상 제외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블락 처리 전 발생 수익까지 회수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도용 등 운영 정책 위반 시 크리에이터 자격 영구 박탈</t>
    </r>
  </si>
  <si>
    <r>
      <rPr>
        <b val="true"/>
        <sz val="10"/>
        <rFont val="WenQuanYi Zen Hei"/>
        <family val="2"/>
      </rPr>
      <t xml:space="preserve">거절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미선정 시</t>
    </r>
  </si>
  <si>
    <r>
      <rPr>
        <sz val="10"/>
        <rFont val="WenQuanYi Zen Hei"/>
        <family val="2"/>
      </rPr>
      <t xml:space="preserve">신청제이므로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제안 거절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미선정 시 불이익 명시 없음</t>
    </r>
  </si>
  <si>
    <t xml:space="preserve">제안을 거절해도 불이익 없음 — 기존 타이틀과 모든 혜택 유지</t>
  </si>
  <si>
    <r>
      <rPr>
        <sz val="10"/>
        <rFont val="WenQuanYi Zen Hei"/>
        <family val="2"/>
      </rPr>
      <t xml:space="preserve">명시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본인 요청으로 해제 가능</t>
    </r>
  </si>
  <si>
    <t xml:space="preserve">정책 변경</t>
  </si>
  <si>
    <r>
      <rPr>
        <sz val="10"/>
        <rFont val="WenQuanYi Zen Hei"/>
        <family val="2"/>
      </rPr>
      <t xml:space="preserve">조건은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변경 시 공식 크리에이터에게 별도 안내</t>
    </r>
  </si>
  <si>
    <t xml:space="preserve">서비스 운영 상황에 따라 사전 고지 없이 변경 가능</t>
  </si>
  <si>
    <r>
      <rPr>
        <sz val="10"/>
        <rFont val="WenQuanYi Zen Hei"/>
        <family val="2"/>
      </rPr>
      <t xml:space="preserve">모델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크레딧 분배량은 제공사 가격 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환율에 따라 조정 가능</t>
    </r>
  </si>
  <si>
    <r>
      <rPr>
        <sz val="10"/>
        <rFont val="WenQuanYi Zen Hei"/>
        <family val="2"/>
      </rPr>
      <t xml:space="preserve">약관 ⑦ — 회사가 운영 사정에 따라 수익 분배 프로그램을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기존에 이미 발생한 수익에는 영향 없음</t>
    </r>
  </si>
  <si>
    <r>
      <rPr>
        <sz val="10"/>
        <rFont val="WenQuanYi Zen Hei"/>
        <family val="2"/>
      </rPr>
      <t xml:space="preserve">채팅수 지원 프로그램은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챌린지는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</si>
  <si>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t xml:space="preserve">이용자 수 증가에 따라 티어 승급 조건 또는 등급 종류 변동 가능</t>
  </si>
  <si>
    <t xml:space="preserve">근거 등급</t>
  </si>
  <si>
    <t xml:space="preserve">공식</t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</si>
  <si>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혜택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정산율 수치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</si>
  <si>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안내 이미지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</si>
  <si>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문서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 페이지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</si>
  <si>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약관 조항만 공식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</si>
  <si>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신청 화면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</si>
  <si>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(2025.11.12 </t>
    </r>
    <r>
      <rPr>
        <sz val="10"/>
        <rFont val="WenQuanYi Zen Hei"/>
        <family val="2"/>
      </rPr>
      <t xml:space="preserve">공지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</si>
  <si>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블루젬 상점 안내 공지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</si>
  <si>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</si>
  <si>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(FAQ + </t>
    </r>
    <r>
      <rPr>
        <sz val="10"/>
        <rFont val="WenQuanYi Zen Hei"/>
        <family val="2"/>
      </rPr>
      <t xml:space="preserve">타이틀 작가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</si>
  <si>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작가 인센티브 제도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</si>
  <si>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</si>
  <si>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예정치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</si>
  <si>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상세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</si>
  <si>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 안내</t>
    </r>
    <r>
      <rPr>
        <sz val="10"/>
        <rFont val="맑은 고딕"/>
        <family val="0"/>
        <charset val="1"/>
      </rPr>
      <t xml:space="preserve">)</t>
    </r>
  </si>
  <si>
    <t xml:space="preserve">한눈에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</si>
  <si>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전속은 이미 희소한 자격이 아님 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</si>
  <si>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전속의 대가를 숫자로 약속하는 곳이 거의 없음 — 케이브덕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베이비챗 비공개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우대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</si>
  <si>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 강도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</si>
  <si>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위약 조항이 있는 곳은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전속 위반 시 기간 내 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(IP </t>
    </r>
    <r>
      <rPr>
        <sz val="10"/>
        <rFont val="WenQuanYi Zen Hei"/>
        <family val="2"/>
      </rPr>
      <t xml:space="preserve">침해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소명 기회 부여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뿐</t>
    </r>
  </si>
  <si>
    <r>
      <rPr>
        <sz val="10"/>
        <rFont val="맑은 고딕"/>
        <family val="0"/>
        <charset val="1"/>
      </rPr>
      <t xml:space="preserve">· 12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에덴챗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챗플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정산 비율을 아예 알 수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위프는 배수만 공개하고 기준 요율을 숨김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</si>
  <si>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투자를 거는 유일한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서비스 작품을 내려서 요건을 맞추는 것을 명시적으로 거부함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</si>
  <si>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티팟만 전속 프리미엄을 단일 숫자로 명확히 제시 — 자유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</si>
  <si>
    <r>
      <rPr>
        <b val="true"/>
        <sz val="14"/>
        <rFont val="WenQuanYi Zen Hei"/>
        <family val="2"/>
      </rPr>
      <t xml:space="preserve">비전속 크리에이터 제도 비교 — 계약 없이 활동하는 일반 크리에이터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작품 단위 독점</t>
    </r>
  </si>
  <si>
    <r>
      <rPr>
        <i val="true"/>
        <sz val="9"/>
        <color rgb="FF595959"/>
        <rFont val="WenQuanYi Zen Hei"/>
        <family val="2"/>
      </rPr>
      <t xml:space="preserve">① 일반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플랫폼과 계약 없이 작품 단위로 정산  ② 독점작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특정 작품만 해당 플랫폼에 독점 공개하고 정산 우대</t>
    </r>
  </si>
  <si>
    <t xml:space="preserve">구분</t>
  </si>
  <si>
    <t xml:space="preserve">일반</t>
  </si>
  <si>
    <t xml:space="preserve">케이브덕 인센티브</t>
  </si>
  <si>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</si>
  <si>
    <t xml:space="preserve">비용 정산</t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</si>
  <si>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</si>
  <si>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본인인증 단계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</si>
  <si>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크리에이터 프로그램 — 작품 등급이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' / '</t>
    </r>
    <r>
      <rPr>
        <sz val="10"/>
        <rFont val="WenQuanYi Zen Hei"/>
        <family val="2"/>
      </rPr>
      <t xml:space="preserve">젠잇 맞춤작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갈림</t>
    </r>
  </si>
  <si>
    <r>
      <rPr>
        <sz val="10"/>
        <rFont val="WenQuanYi Zen Hei"/>
        <family val="2"/>
      </rPr>
      <t xml:space="preserve">블루젬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</si>
  <si>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크리에이터 대상 정산 이벤트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진행 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</si>
  <si>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타이틀 작가 — 루키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등급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</si>
  <si>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작가 티어 제도 — 실버</t>
    </r>
    <r>
      <rPr>
        <sz val="10"/>
        <rFont val="맑은 고딕"/>
        <family val="0"/>
        <charset val="1"/>
      </rPr>
      <t xml:space="preserve">3 ~ </t>
    </r>
    <r>
      <rPr>
        <sz val="10"/>
        <rFont val="WenQuanYi Zen Hei"/>
        <family val="2"/>
      </rPr>
      <t xml:space="preserve">핑크 다이아몬드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</si>
  <si>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자유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 없이도 적립됨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</si>
  <si>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(※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</si>
  <si>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초기 제작자 정산 </t>
    </r>
    <r>
      <rPr>
        <sz val="10"/>
        <rFont val="맑은 고딕"/>
        <family val="0"/>
        <charset val="1"/>
      </rPr>
      <t xml:space="preserve">(2026.06.30</t>
    </r>
    <r>
      <rPr>
        <sz val="10"/>
        <rFont val="WenQuanYi Zen Hei"/>
        <family val="2"/>
      </rPr>
      <t xml:space="preserve">까지 작품 등록한 제작자 대상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</si>
  <si>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캐릭터 제작자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</si>
  <si>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등록 제도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등급 구분 없음</t>
    </r>
  </si>
  <si>
    <t xml:space="preserve">정산 구조</t>
  </si>
  <si>
    <r>
      <rPr>
        <sz val="10"/>
        <rFont val="WenQuanYi Zen Hei"/>
        <family val="2"/>
      </rPr>
      <t xml:space="preserve">채팅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액션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포인트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</si>
  <si>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r>
      <rPr>
        <sz val="10"/>
        <rFont val="맑은 고딕"/>
        <family val="0"/>
        <charset val="1"/>
      </rPr>
      <t xml:space="preserve">①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정률 정산 ②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적립 — 구매 프로챗 소모량의 정률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</si>
  <si>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크레딧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</si>
  <si>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t xml:space="preserve">미확인 — 제작자별 맞춤형 개별 협의</t>
  </si>
  <si>
    <r>
      <rPr>
        <sz val="10"/>
        <rFont val="WenQuanYi Zen Hei"/>
        <family val="2"/>
      </rPr>
      <t xml:space="preserve">정률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제작자 콘텐츠를 다른 이용자가 이용해 발생한 수익의 일부를 분배</t>
    </r>
  </si>
  <si>
    <r>
      <rPr>
        <sz val="10"/>
        <rFont val="WenQuanYi Zen Hei"/>
        <family val="2"/>
      </rPr>
      <t xml:space="preserve">정률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일정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를 커미션으로 적립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문서에 명시된 드문 사례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</si>
  <si>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지급 수단이 갈림 — 젠잇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</si>
  <si>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정률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— 대화 소모 포인트의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적립 → 블루젬을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실질 가치로 기프티콘 교환</t>
    </r>
  </si>
  <si>
    <r>
      <rPr>
        <sz val="10"/>
        <rFont val="WenQuanYi Zen Hei"/>
        <family val="2"/>
      </rPr>
      <t xml:space="preserve">정액제 —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고정 금액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상이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</si>
  <si>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기준 요율이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비공개이고 등급 간 배수만 공개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</si>
  <si>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대상은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다른 사용자들이 내가 만든 월드에서 사용한 쿠키 총액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티어별 비율을 적용해 동일 가치의 포인트로 환산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실시간 업데이트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</si>
  <si>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캐릭터를 다른 유저가 이용할 때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매일 새벽 전날 사용분까지 자동 반영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</si>
  <si>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작품에 소모된 유료 캐롯 총액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</si>
  <si>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스텔라 사용량 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 단위로 적용</t>
    </r>
  </si>
  <si>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캐릭터 제작자에게 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제공되는 구조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모수가 명시되지 않음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</si>
  <si>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애셋의 유료 대화 수익 → 마일리지 적립 → 크리에이터 자격 획득 후 리워드로 전환 → 출금 또는 포인트 전환</t>
    </r>
  </si>
  <si>
    <t xml:space="preserve">크리에이터 몫</t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</si>
  <si>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1~20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(1pt =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</si>
  <si>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70~90% /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</si>
  <si>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0.6~3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</si>
  <si>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미공개 — 약관상 비율은 운영정책 또는 개별 제작자 계약에서 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⑧에 수익 배분 알고리즘 기밀유지 의무 명시</t>
    </r>
  </si>
  <si>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인증 크리에이터 승격</t>
    </r>
    <r>
      <rPr>
        <sz val="10"/>
        <rFont val="맑은 고딕"/>
        <family val="0"/>
        <charset val="1"/>
      </rPr>
      <t xml:space="preserve">: 8%</t>
    </r>
  </si>
  <si>
    <r>
      <rPr>
        <sz val="10"/>
        <rFont val="WenQuanYi Zen Hei"/>
        <family val="2"/>
      </rPr>
      <t xml:space="preserve">공개작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맞춤작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홍보 지원 우선 선정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</si>
  <si>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 (</t>
    </r>
    <r>
      <rPr>
        <sz val="10"/>
        <rFont val="WenQuanYi Zen Hei"/>
        <family val="2"/>
      </rPr>
      <t xml:space="preserve">대화 소모 포인트 기준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인증 크리에이터와 미인증 크리에이터의 인센티브가 동일</t>
    </r>
  </si>
  <si>
    <r>
      <rPr>
        <sz val="10"/>
        <rFont val="WenQuanYi Zen Hei"/>
        <family val="2"/>
      </rPr>
      <t xml:space="preserve">유저 한 턴당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</si>
  <si>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루키 기준 요율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잠금 이미지는 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기준값을 모르므로 절대 수입 산출 불가</t>
    </r>
  </si>
  <si>
    <r>
      <rPr>
        <sz val="10"/>
        <rFont val="WenQuanYi Zen Hei"/>
        <family val="2"/>
      </rPr>
      <t xml:space="preserve">티어별 </t>
    </r>
    <r>
      <rPr>
        <sz val="10"/>
        <rFont val="맑은 고딕"/>
        <family val="0"/>
        <charset val="1"/>
      </rPr>
      <t xml:space="preserve">3% ~ 15%.
</t>
    </r>
    <r>
      <rPr>
        <sz val="10"/>
        <rFont val="WenQuanYi Zen Hei"/>
        <family val="2"/>
      </rPr>
      <t xml:space="preserve">가산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제도상 최대 </t>
    </r>
    <r>
      <rPr>
        <sz val="10"/>
        <rFont val="맑은 고딕"/>
        <family val="0"/>
        <charset val="1"/>
      </rPr>
      <t xml:space="preserve">22%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</si>
  <si>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12%.
</t>
    </r>
    <r>
      <rPr>
        <sz val="10"/>
        <rFont val="WenQuanYi Zen Hei"/>
        <family val="2"/>
      </rPr>
      <t xml:space="preserve">팬 후원은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</si>
  <si>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
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 (~12%)
※ </t>
    </r>
    <r>
      <rPr>
        <sz val="10"/>
        <rFont val="WenQuanYi Zen Hei"/>
        <family val="2"/>
      </rPr>
      <t xml:space="preserve">인증 커미션은 추후 미션 완료율 연동 구조를 논의 중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</si>
  <si>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정산 — 등급 구분 없는 단일 요율</t>
    </r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</si>
  <si>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무엇의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인지 미확인</t>
    </r>
    <r>
      <rPr>
        <sz val="10"/>
        <rFont val="맑은 고딕"/>
        <family val="0"/>
        <charset val="1"/>
      </rPr>
      <t xml:space="preserve">.
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기본 정산에 더해지는 가산인지 그 자체가 전부인지도 불명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</si>
  <si>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 — </t>
    </r>
    <r>
      <rPr>
        <sz val="10"/>
        <rFont val="WenQuanYi Zen Hei"/>
        <family val="2"/>
      </rPr>
      <t xml:space="preserve">조사 대상 중 일반 크리에이터 기준 최고 표기 수치</t>
    </r>
  </si>
  <si>
    <t xml:space="preserve">현금 환산율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</si>
  <si>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0.6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출금표에서 역산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 구간 모두 일정</t>
    </r>
    <r>
      <rPr>
        <sz val="10"/>
        <rFont val="맑은 고딕"/>
        <family val="0"/>
        <charset val="1"/>
      </rPr>
      <t xml:space="preserve">)</t>
    </r>
  </si>
  <si>
    <t xml:space="preserve">베리는 현금 환산 불가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</si>
  <si>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문서에 직접 명시</t>
    </r>
    <r>
      <rPr>
        <sz val="10"/>
        <rFont val="맑은 고딕"/>
        <family val="0"/>
        <charset val="1"/>
      </rPr>
      <t xml:space="preserve">)</t>
    </r>
  </si>
  <si>
    <t xml:space="preserve">해당 없음 — 금액 기준 정률이라 재화 환산 단계가 없음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</si>
  <si>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대량 구매 시 최저 </t>
    </r>
    <r>
      <rPr>
        <sz val="10"/>
        <rFont val="맑은 고딕"/>
        <family val="0"/>
        <charset val="1"/>
      </rPr>
      <t xml:space="preserve">0.91</t>
    </r>
    <r>
      <rPr>
        <sz val="10"/>
        <rFont val="WenQuanYi Zen Hei"/>
        <family val="2"/>
      </rPr>
      <t xml:space="preserve">원까지 하락 → 크리에이터 수령액도 같은 비율로 감소</t>
    </r>
  </si>
  <si>
    <r>
      <rPr>
        <sz val="10"/>
        <rFont val="WenQuanYi Zen Hei"/>
        <family val="2"/>
      </rPr>
      <t xml:space="preserve">유저 재화</t>
    </r>
    <r>
      <rPr>
        <sz val="10"/>
        <rFont val="맑은 고딕"/>
        <family val="0"/>
        <charset val="1"/>
      </rPr>
      <t xml:space="preserve">: 3,000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: 16,700 = 5,000</t>
    </r>
    <r>
      <rPr>
        <sz val="10"/>
        <rFont val="WenQuanYi Zen Hei"/>
        <family val="2"/>
      </rPr>
      <t xml:space="preserve">원권 </t>
    </r>
    <r>
      <rPr>
        <sz val="10"/>
        <rFont val="맑은 고딕"/>
        <family val="0"/>
        <charset val="1"/>
      </rPr>
      <t xml:space="preserve">/ 33,400 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30%)</t>
    </r>
  </si>
  <si>
    <t xml:space="preserve">해당 없음 — 원화로 직접 표기</t>
  </si>
  <si>
    <t xml:space="preserve">미확인 — 위프의 현금 환산율 미공개</t>
  </si>
  <si>
    <r>
      <rPr>
        <sz val="10"/>
        <rFont val="WenQuanYi Zen Hei"/>
        <family val="2"/>
      </rPr>
      <t xml:space="preserve">출금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(1P = 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유저 측 쿠키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실지불 유료쿠키당 </t>
    </r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구간 동일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</si>
  <si>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유저 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리프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할인은 전부 보너스 리프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인센티브 → 리프</t>
    </r>
    <r>
      <rPr>
        <sz val="10"/>
        <rFont val="맑은 고딕"/>
        <family val="0"/>
        <charset val="1"/>
      </rPr>
      <t xml:space="preserve">: 1:1,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
인센티브 → 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85.53% (</t>
    </r>
    <r>
      <rPr>
        <sz val="10"/>
        <rFont val="WenQuanYi Zen Hei"/>
        <family val="2"/>
      </rPr>
      <t xml:space="preserve">예시</t>
    </r>
    <r>
      <rPr>
        <sz val="10"/>
        <rFont val="맑은 고딕"/>
        <family val="0"/>
        <charset val="1"/>
      </rPr>
      <t xml:space="preserve">: 10,000</t>
    </r>
    <r>
      <rPr>
        <sz val="10"/>
        <rFont val="WenQuanYi Zen Hei"/>
        <family val="2"/>
      </rPr>
      <t xml:space="preserve">원 신청 → </t>
    </r>
    <r>
      <rPr>
        <sz val="10"/>
        <rFont val="맑은 고딕"/>
        <family val="0"/>
        <charset val="1"/>
      </rPr>
      <t xml:space="preserve">11,692 </t>
    </r>
    <r>
      <rPr>
        <sz val="10"/>
        <rFont val="WenQuanYi Zen Hei"/>
        <family val="2"/>
      </rPr>
      <t xml:space="preserve">인센티브 차감 → 정확히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입금</t>
    </r>
    <r>
      <rPr>
        <sz val="10"/>
        <rFont val="맑은 고딕"/>
        <family val="0"/>
        <charset val="1"/>
      </rPr>
      <t xml:space="preserve">)</t>
    </r>
  </si>
  <si>
    <t xml:space="preserve">미확인 — 캐롯 충전 가격표 미확보</t>
  </si>
  <si>
    <r>
      <rPr>
        <sz val="10"/>
        <rFont val="맑은 고딕"/>
        <family val="0"/>
        <charset val="1"/>
      </rPr>
      <t xml:space="preserve">4,900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4,900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결제액 대비 그대로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</si>
  <si>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마일리지 → 리워드 전환 비율이 공개되지 않아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여부를 확정할 수 없음</t>
    </r>
  </si>
  <si>
    <t xml:space="preserve">현금 출금</t>
  </si>
  <si>
    <t xml:space="preserve">가능</t>
  </si>
  <si>
    <r>
      <rPr>
        <sz val="10"/>
        <rFont val="WenQuanYi Zen Hei"/>
        <family val="2"/>
      </rPr>
      <t xml:space="preserve">불가 — 베리는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 가능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</si>
  <si>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</si>
  <si>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유저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인센티브가 포인트로 변환 적립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및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</si>
  <si>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</si>
  <si>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튜닝 모델 정산분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 외 모델 정산분은 젤리로만 지급 — 젤리샵에서 사용</t>
    </r>
  </si>
  <si>
    <r>
      <rPr>
        <sz val="10"/>
        <rFont val="WenQuanYi Zen Hei"/>
        <family val="2"/>
      </rPr>
      <t xml:space="preserve">불가 — 기프티콘 교환만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네이버페이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다이소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올리브영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배달의민족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파리바게뜨 교환권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스타벅스 음료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블루젬 상점은 오픈 예정 단계</t>
    </r>
  </si>
  <si>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위프로만 수령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프라임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
※ 루키 시절 발생 대화량은 승급 후에도 현금 정산 불가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</si>
  <si>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나의 둠칫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수익 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출금 내역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1,000,000P(=60,000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같은 달 여러 번 신청 시 합산 지급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</si>
  <si>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계약</t>
    </r>
    <r>
      <rPr>
        <sz val="10"/>
        <rFont val="맑은 고딕"/>
        <family val="0"/>
        <charset val="1"/>
      </rPr>
      <t xml:space="preserve">' + 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캐릭터의 잔고만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월중 언제든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매월 말일까지 취소 가능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</si>
  <si>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정산률로 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</si>
  <si>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계좌 인증 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출금 신청 또는 포인트 전환 중 선택</t>
    </r>
  </si>
  <si>
    <t xml:space="preserve">실질 회수율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</si>
  <si>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깃털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</si>
  <si>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10~13% → </t>
    </r>
    <r>
      <rPr>
        <sz val="10"/>
        <rFont val="WenQuanYi Zen Hei"/>
        <family val="2"/>
      </rPr>
      <t xml:space="preserve">프로챗 전환 후 실질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</si>
  <si>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</si>
  <si>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3% / 8%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유저 결제액 기준인지 재화 환산액 기준인지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</si>
  <si>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5~10%,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젤리라 현금 아님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0.75~1.5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+ 2~4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4~8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6~12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</si>
  <si>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 —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내 캐릭터 대화에 소모하면 크리에이터는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(≈299</t>
    </r>
    <r>
      <rPr>
        <sz val="10"/>
        <rFont val="WenQuanYi Zen Hei"/>
        <family val="2"/>
      </rPr>
      <t xml:space="preserve">원 상당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획득</t>
    </r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</si>
  <si>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 단가가 미확인이라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는 산출 불가</t>
    </r>
  </si>
  <si>
    <t xml:space="preserve">산출 불가 — 기준 요율과 유저 결제 단가가 모두 미공개</t>
  </si>
  <si>
    <r>
      <rPr>
        <sz val="10"/>
        <rFont val="WenQuanYi Zen Hei"/>
        <family val="2"/>
      </rPr>
      <t xml:space="preserve">산출에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↔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비율이 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가설이 맞다면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는 유저 실지불액 대비 </t>
    </r>
    <r>
      <rPr>
        <sz val="10"/>
        <rFont val="맑은 고딕"/>
        <family val="0"/>
        <charset val="1"/>
      </rPr>
      <t xml:space="preserve">16.3~18.8%, </t>
    </r>
    <r>
      <rPr>
        <sz val="10"/>
        <rFont val="WenQuanYi Zen Hei"/>
        <family val="2"/>
      </rPr>
      <t xml:space="preserve">최대치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23.9~27.5%</t>
    </r>
  </si>
  <si>
    <r>
      <rPr>
        <sz val="10"/>
        <rFont val="WenQuanYi Zen Hei"/>
        <family val="2"/>
      </rPr>
      <t xml:space="preserve">리프로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8.0%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80.0%
</t>
    </r>
    <r>
      <rPr>
        <sz val="10"/>
        <rFont val="WenQuanYi Zen Hei"/>
        <family val="2"/>
      </rPr>
      <t xml:space="preserve">현금으로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6.84%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10.26%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68.42%</t>
    </r>
  </si>
  <si>
    <t xml:space="preserve">산출 불가 — 캐롯의 원화 단가 미확인</t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</si>
  <si>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모수와 단가가 모두 명확해 유저 결제액 대비 비율이 그대로 성립</t>
    </r>
  </si>
  <si>
    <t xml:space="preserve">산출 불가 — 모수와 재화 단가가 모두 미확인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</si>
  <si>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20%. </t>
    </r>
    <r>
      <rPr>
        <sz val="10"/>
        <rFont val="WenQuanYi Zen Hei"/>
        <family val="2"/>
      </rPr>
      <t xml:space="preserve">단 마일리지→리워드 전환 비율과 재화 단가가 미확인이라 확정 불가</t>
    </r>
  </si>
  <si>
    <t xml:space="preserve">최소 정산액</t>
  </si>
  <si>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</si>
  <si>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5,000 (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현금 해당 없음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</si>
  <si>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</si>
  <si>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회사가 정한 최소 정산 금액 미달 시 다음 정산 기간으로 이월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금액 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</si>
  <si>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위프 정산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정산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</si>
  <si>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</si>
  <si>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리프 교환 </t>
    </r>
    <r>
      <rPr>
        <sz val="10"/>
        <rFont val="맑은 고딕"/>
        <family val="0"/>
        <charset val="1"/>
      </rPr>
      <t xml:space="preserve">1,000 (100 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)</t>
    </r>
  </si>
  <si>
    <t xml:space="preserve">정산 주기</t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</si>
  <si>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지급일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</si>
  <si>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즉시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</si>
  <si>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전부 휴일이면 다음 영업일</t>
    </r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</si>
  <si>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정산일은 운영정책에서 별도 지정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</si>
  <si>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한달 단위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익월 중 정산 후 정산 페이지를 통해 안내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세금 원천징수 후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채팅수 달성 지원금은 매주 금요일 정산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</si>
  <si>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즉시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 지급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추가 지급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 버튼 클릭 후 채널톡으로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지급 신청 완료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메시지까지 보내야 최종 접수</t>
    </r>
  </si>
  <si>
    <r>
      <rPr>
        <sz val="10"/>
        <rFont val="WenQuanYi Zen Hei"/>
        <family val="2"/>
      </rPr>
      <t xml:space="preserve">정산 자체는 실시간 업데이트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출금은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</si>
  <si>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적립은 매일 새벽 자동 반영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현금은 신청 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</si>
  <si>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지속적으로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서술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</si>
  <si>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출금 가능 수익은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정산 지연이 약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개월로 조사 대상 중 가장 긴 편</t>
    </r>
  </si>
  <si>
    <t xml:space="preserve">활성화 조건</t>
  </si>
  <si>
    <r>
      <rPr>
        <sz val="10"/>
        <rFont val="WenQuanYi Zen Hei"/>
        <family val="2"/>
      </rPr>
      <t xml:space="preserve">작품별로 구매 프로챗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회를 채워야 베리 활성화</t>
    </r>
    <r>
      <rPr>
        <sz val="10"/>
        <rFont val="맑은 고딕"/>
        <family val="0"/>
        <charset val="1"/>
      </rPr>
      <t xml:space="preserve">. 1~499</t>
    </r>
    <r>
      <rPr>
        <sz val="10"/>
        <rFont val="WenQuanYi Zen Hei"/>
        <family val="2"/>
      </rPr>
      <t xml:space="preserve">회는 누적만 되고 사용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합산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</si>
  <si>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인출은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전환이 필요</t>
    </r>
    <r>
      <rPr>
        <sz val="10"/>
        <rFont val="맑은 고딕"/>
        <family val="0"/>
        <charset val="1"/>
      </rPr>
      <t xml:space="preserve">:
①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
② 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이상
③ 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이상
→ 조건 충족 시 전환 버튼 활성화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</t>
    </r>
  </si>
  <si>
    <r>
      <rPr>
        <sz val="10"/>
        <rFont val="WenQuanYi Zen Hei"/>
        <family val="2"/>
      </rPr>
      <t xml:space="preserve">본인인증 완료 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커미션 시작</t>
    </r>
    <r>
      <rPr>
        <sz val="10"/>
        <rFont val="맑은 고딕"/>
        <family val="0"/>
        <charset val="1"/>
      </rPr>
      <t xml:space="preserve">.
8%</t>
    </r>
    <r>
      <rPr>
        <sz val="10"/>
        <rFont val="WenQuanYi Zen Hei"/>
        <family val="2"/>
      </rPr>
      <t xml:space="preserve">로 올리려면 인증 크리에이터 신청 — 만든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수 </t>
    </r>
    <r>
      <rPr>
        <sz val="10"/>
        <rFont val="맑은 고딕"/>
        <family val="0"/>
        <charset val="1"/>
      </rPr>
      <t xml:space="preserve">5,000 + </t>
    </r>
    <r>
      <rPr>
        <sz val="10"/>
        <rFont val="WenQuanYi Zen Hei"/>
        <family val="2"/>
      </rPr>
      <t xml:space="preserve">본인인증 모두 충족</t>
    </r>
  </si>
  <si>
    <r>
      <rPr>
        <sz val="10"/>
        <rFont val="WenQuanYi Zen Hei"/>
        <family val="2"/>
      </rPr>
      <t xml:space="preserve">크리에이터 프로그램 신청 필요 — 캐릭터 대화 수 </t>
    </r>
    <r>
      <rPr>
        <sz val="10"/>
        <rFont val="맑은 고딕"/>
        <family val="0"/>
        <charset val="1"/>
      </rPr>
      <t xml:space="preserve">100 </t>
    </r>
    <r>
      <rPr>
        <sz val="10"/>
        <rFont val="WenQuanYi Zen Hei"/>
        <family val="2"/>
      </rPr>
      <t xml:space="preserve">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명 제작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신청 시 해당 크리에이터의 모든 공개 작품이 정산 대상</t>
    </r>
  </si>
  <si>
    <t xml:space="preserve">없음 — 크리에이터 인증 조건 자체가 존재하지 않음</t>
  </si>
  <si>
    <r>
      <rPr>
        <sz val="10"/>
        <rFont val="WenQuanYi Zen Hei"/>
        <family val="2"/>
      </rPr>
      <t xml:space="preserve">타이틀 작가 등급 신청 후 승인 시점부터 혜택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누적 대화량 </t>
    </r>
    <r>
      <rPr>
        <sz val="10"/>
        <rFont val="맑은 고딕"/>
        <family val="0"/>
        <charset val="1"/>
      </rPr>
      <t xml:space="preserve">50K +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
※ 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</si>
  <si>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시즌 유료 턴 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이상이면 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진입 — 사실상 문턱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티어는 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</si>
  <si>
    <r>
      <rPr>
        <sz val="10"/>
        <rFont val="WenQuanYi Zen Hei"/>
        <family val="2"/>
      </rPr>
      <t xml:space="preserve">적립 자체는 조건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현금 정산 자격은 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회 이상인 캐릭터가 하나라도 있으면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단위 신청 시 모든 공개 캐릭터가 자동 편입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만 미만 포함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캐릭터별 신청도 가능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</si>
  <si>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인증 크리에이터 자격 조건도 미공개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</si>
  <si>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일까지 작품 등록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 창구는 이미 닫혔으며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등록 제작자의 정산률은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미공지</t>
    </r>
  </si>
  <si>
    <r>
      <rPr>
        <sz val="10"/>
        <rFont val="WenQuanYi Zen Hei"/>
        <family val="2"/>
      </rPr>
      <t xml:space="preserve">누적 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 달성 시 크리에이터 자격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본인인증한 성인만 — 미성년자는 애셋 제작은 가능하나 크리에이터 제도 이용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제도 도입 이전</t>
    </r>
    <r>
      <rPr>
        <sz val="10"/>
        <rFont val="맑은 고딕"/>
        <family val="0"/>
        <charset val="1"/>
      </rPr>
      <t xml:space="preserve">(26.06.25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리워드 수익 이력이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원이라도 있던 유저는 자격 자동 부여</t>
    </r>
  </si>
  <si>
    <t xml:space="preserve">적립 제외</t>
  </si>
  <si>
    <r>
      <rPr>
        <sz val="10"/>
        <rFont val="WenQuanYi Zen Hei"/>
        <family val="2"/>
      </rPr>
      <t xml:space="preserve">본인 캐릭터와의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비회원 대화</t>
    </r>
  </si>
  <si>
    <r>
      <rPr>
        <sz val="10"/>
        <rFont val="WenQuanYi Zen Hei"/>
        <family val="2"/>
      </rPr>
      <t xml:space="preserve">무료 프로챗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메모리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최대기억량 조절로 발생한 프로챗</t>
    </r>
  </si>
  <si>
    <r>
      <rPr>
        <sz val="10"/>
        <rFont val="WenQuanYi Zen Hei"/>
        <family val="2"/>
      </rPr>
      <t xml:space="preserve">보너스 크레딧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 무상 지급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발생 매출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</si>
  <si>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제니 사용분 처리 방식 불명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</si>
  <si>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제작자 본인 채팅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관계 점수 증감 말풍선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수익화 기준은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 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채팅량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캐릭터 상세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작가 페이지의 총 채팅량과 다를 수 있음</t>
    </r>
  </si>
  <si>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</t>
    </r>
  </si>
  <si>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보상 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선물받은 리프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리프 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본인이 자기 캐릭터를 사용한 분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</si>
  <si>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캐롯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기준이므로 무료 캐롯은 제외되는 것으로 보이나 명시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</si>
  <si>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스텔라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무료 스텔라 처리는 명시 없음</t>
    </r>
  </si>
  <si>
    <r>
      <rPr>
        <sz val="10"/>
        <rFont val="WenQuanYi Zen Hei"/>
        <family val="2"/>
      </rPr>
      <t xml:space="preserve">공개된 애셋만 정산 — 비공개 애셋과의 대화는 정산되지 않음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서사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테마는 대화 수가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대화의 서사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테마 사용 비중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따라 안분 정산</t>
    </r>
  </si>
  <si>
    <t xml:space="preserve">본인 대화 적립</t>
  </si>
  <si>
    <t xml:space="preserve">불가</t>
  </si>
  <si>
    <t xml:space="preserve">가능 — 본인이 본인 작품에 사용한 프로챗도 적립</t>
  </si>
  <si>
    <t xml:space="preserve">가능 — 내가 만든 애셋과의 유료 대화 수익도 정산 내역에 포함</t>
  </si>
  <si>
    <r>
      <rPr>
        <b val="true"/>
        <sz val="10"/>
        <rFont val="WenQuanYi Zen Hei"/>
        <family val="2"/>
      </rPr>
      <t xml:space="preserve">유효기간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소멸</t>
    </r>
  </si>
  <si>
    <r>
      <rPr>
        <sz val="10"/>
        <rFont val="WenQuanYi Zen Hei"/>
        <family val="2"/>
      </rPr>
      <t xml:space="preserve">적립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후 익월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 자정 자동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휴면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탈퇴 시 즉시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활성화 전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회 미달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베리도 동일 적용</t>
    </r>
  </si>
  <si>
    <r>
      <rPr>
        <sz val="10"/>
        <rFont val="WenQuanYi Zen Hei"/>
        <family val="2"/>
      </rPr>
      <t xml:space="preserve">유저 측 무료 제니는 획득일로부터 </t>
    </r>
    <r>
      <rPr>
        <sz val="10"/>
        <rFont val="맑은 고딕"/>
        <family val="0"/>
        <charset val="1"/>
      </rPr>
      <t xml:space="preserve">365</t>
    </r>
    <r>
      <rPr>
        <sz val="10"/>
        <rFont val="WenQuanYi Zen Hei"/>
        <family val="2"/>
      </rPr>
      <t xml:space="preserve">일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정산분의 소멸 규정은 미확인</t>
    </r>
  </si>
  <si>
    <t xml:space="preserve">이벤트 기간 및 종료 후 상시 요율 미확인 — 이 수치를 상시 요율로 보면 안 됨</t>
  </si>
  <si>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월간 지급 위프는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
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 해지는 아님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복귀 후 새 캐릭터 공개 시 재개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</si>
  <si>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단위이며 시즌 보상은 시즌 종료 시점 티어 기준으로 지급</t>
    </r>
  </si>
  <si>
    <r>
      <rPr>
        <sz val="10"/>
        <rFont val="WenQuanYi Zen Hei"/>
        <family val="2"/>
      </rPr>
      <t xml:space="preserve">소멸 없음 —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미만 잔고도 기한 없이 계속 보관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적립되며 리프 교환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부터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으로는 언제든 사용 가능</t>
    </r>
  </si>
  <si>
    <t xml:space="preserve">리워드는 계정 유지 시에만 지급 — 회원 탈퇴 시 지급되지 않음</t>
  </si>
  <si>
    <r>
      <rPr>
        <b val="true"/>
        <sz val="10"/>
        <rFont val="WenQuanYi Zen Hei"/>
        <family val="2"/>
      </rPr>
      <t xml:space="preserve">후원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선물 정산</t>
    </r>
  </si>
  <si>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(</t>
    </r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80%)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</si>
  <si>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 미확인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</si>
  <si>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 </t>
    </r>
    <r>
      <rPr>
        <sz val="10"/>
        <rFont val="WenQuanYi Zen Hei"/>
        <family val="2"/>
      </rPr>
      <t xml:space="preserve">해석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</si>
  <si>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등급별 후원 포인트 </t>
    </r>
    <r>
      <rPr>
        <sz val="10"/>
        <rFont val="맑은 고딕"/>
        <family val="0"/>
        <charset val="1"/>
      </rPr>
      <t xml:space="preserve">90~97%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크리에이터 등급 기준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</si>
  <si>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잠금 이미지 열람 수익은 정산 대상에 포함</t>
    </r>
  </si>
  <si>
    <r>
      <rPr>
        <sz val="10"/>
        <rFont val="WenQuanYi Zen Hei"/>
        <family val="2"/>
      </rPr>
      <t xml:space="preserve">팬 후원 시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</si>
  <si>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t xml:space="preserve">계약 필요 여부</t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</si>
  <si>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동의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</si>
  <si>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필요 — 첫 매출 발생 후 창작자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주민번호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제출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</si>
  <si>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크리에이터 전환 신청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②에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개별 제작자 계약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언급</t>
    </r>
  </si>
  <si>
    <r>
      <rPr>
        <sz val="10"/>
        <rFont val="WenQuanYi Zen Hei"/>
        <family val="2"/>
      </rPr>
      <t xml:space="preserve">엘린 인증 크리에이터 약관 동의 필요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</si>
  <si>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 신청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퍼블리싱 단계에서만 별도 계약</t>
    </r>
  </si>
  <si>
    <t xml:space="preserve">불필요</t>
  </si>
  <si>
    <r>
      <rPr>
        <sz val="10"/>
        <rFont val="WenQuanYi Zen Hei"/>
        <family val="2"/>
      </rPr>
      <t xml:space="preserve">일반은 불필요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공식 크리에이터는 계약 기반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</si>
  <si>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</si>
  <si>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오리지널만 별도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저작권 구매 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</si>
  <si>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리프 교환은 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전자계약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필요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</si>
  <si>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신청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창작자 이용약관 동의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인증</t>
    </r>
  </si>
  <si>
    <t xml:space="preserve">해외 크리에이터</t>
  </si>
  <si>
    <t xml:space="preserve">베리샵 교환은 본인인증에 사용한 한국 휴대폰 번호로만 가능 → 사실상 배제</t>
  </si>
  <si>
    <r>
      <rPr>
        <sz val="10"/>
        <rFont val="WenQuanYi Zen Hei"/>
        <family val="2"/>
      </rPr>
      <t xml:space="preserve">약관 ④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해외 거주 제작자는 조세조약 및 국내 세법에 따른 원천징수세율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수익 분배는 대한민국 내 발생 수익에 한하며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해외 발생 수익의 분배 여부는 회사가 별도 결정</t>
    </r>
  </si>
  <si>
    <r>
      <rPr>
        <sz val="10"/>
        <rFont val="WenQuanYi Zen Hei"/>
        <family val="2"/>
      </rPr>
      <t xml:space="preserve">본인인증이 필수 요건 — 방식에 따라 제약 가능성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</si>
  <si>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교환처가 전부 국내 브랜드라 사실상 제약 가능성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</si>
  <si>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글로벌 진출 동의 캐릭터도 동일 기준으로 정산에 포함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</si>
  <si>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 시 본인 명의 계좌 확인 필요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</si>
  <si>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등록 필요</t>
    </r>
  </si>
  <si>
    <t xml:space="preserve">해외에서 글로벌 공개 애셋에 대한 유료 대화가 발생하면 해외 리워드로 정산되며 국내와 구분 표시 — 해외 매출도 정산 대상</t>
  </si>
  <si>
    <t xml:space="preserve">독점작</t>
  </si>
  <si>
    <t xml:space="preserve">케이브덕 오리지널 캐릭터</t>
  </si>
  <si>
    <t xml:space="preserve">B Only</t>
  </si>
  <si>
    <t xml:space="preserve">확인되지 않음</t>
  </si>
  <si>
    <t xml:space="preserve">젠잇 퍼블리싱 프로그램 — 오리지널 퍼블리싱 → 집중 퍼블리싱 → 대작 지원 프로그램</t>
  </si>
  <si>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 월드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)</t>
    </r>
  </si>
  <si>
    <t xml:space="preserve">캐릭터별 독점 전환</t>
  </si>
  <si>
    <t xml:space="preserve">등록 방식</t>
  </si>
  <si>
    <r>
      <rPr>
        <sz val="10"/>
        <rFont val="WenQuanYi Zen Hei"/>
        <family val="2"/>
      </rPr>
      <t xml:space="preserve">셀프 토글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공개 설정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 캐릭터</t>
    </r>
    <r>
      <rPr>
        <sz val="10"/>
        <rFont val="맑은 고딕"/>
        <family val="0"/>
        <charset val="1"/>
      </rPr>
      <t xml:space="preserve">' ON</t>
    </r>
  </si>
  <si>
    <r>
      <rPr>
        <sz val="10"/>
        <rFont val="WenQuanYi Zen Hei"/>
        <family val="2"/>
      </rPr>
      <t xml:space="preserve">셀프 스위치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캐릭터 제작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수정</t>
    </r>
    <r>
      <rPr>
        <sz val="10"/>
        <rFont val="맑은 고딕"/>
        <family val="0"/>
        <charset val="1"/>
      </rPr>
      <t xml:space="preserve">] &gt; [</t>
    </r>
    <r>
      <rPr>
        <sz val="10"/>
        <rFont val="WenQuanYi Zen Hei"/>
        <family val="2"/>
      </rPr>
      <t xml:space="preserve">수정 및 등록</t>
    </r>
    <r>
      <rPr>
        <sz val="10"/>
        <rFont val="맑은 고딕"/>
        <family val="0"/>
        <charset val="1"/>
      </rPr>
      <t xml:space="preserve">] &gt; [B Only </t>
    </r>
    <r>
      <rPr>
        <sz val="10"/>
        <rFont val="WenQuanYi Zen Hei"/>
        <family val="2"/>
      </rPr>
      <t xml:space="preserve">설정</t>
    </r>
    <r>
      <rPr>
        <sz val="10"/>
        <rFont val="맑은 고딕"/>
        <family val="0"/>
        <charset val="1"/>
      </rPr>
      <t xml:space="preserve">] ON</t>
    </r>
  </si>
  <si>
    <t xml:space="preserve">-</t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</si>
  <si>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지원팀이 작품을 선정해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별도 계약</t>
    </r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</si>
  <si>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독점공개는 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베타 기간 중 운영팀 추천만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추후 작가 직접 신청 심사 시스템 오픈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</si>
  <si>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선택 — 자유 크리에이터가 특정 인기 캐릭터만 골라 독점</t>
    </r>
    <r>
      <rPr>
        <sz val="10"/>
        <rFont val="맑은 고딕"/>
        <family val="0"/>
        <charset val="1"/>
      </rPr>
      <t xml:space="preserve">(12%)</t>
    </r>
    <r>
      <rPr>
        <sz val="10"/>
        <rFont val="WenQuanYi Zen Hei"/>
        <family val="2"/>
      </rPr>
      <t xml:space="preserve">으로 전환 가능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</si>
  <si>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</si>
  <si>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일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</si>
  <si>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계약 시 독점 조건 협의</t>
    </r>
  </si>
  <si>
    <r>
      <rPr>
        <sz val="10"/>
        <rFont val="WenQuanYi Zen Hei"/>
        <family val="2"/>
      </rPr>
      <t xml:space="preserve">자유 크리에이터 계약은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</si>
  <si>
    <t xml:space="preserve">기간 중 해제</t>
  </si>
  <si>
    <r>
      <rPr>
        <sz val="10"/>
        <rFont val="WenQuanYi Zen Hei"/>
        <family val="2"/>
      </rPr>
      <t xml:space="preserve">해제 시 즉시 종료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 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</si>
  <si>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메시지당 </t>
    </r>
    <r>
      <rPr>
        <sz val="10"/>
        <rFont val="맑은 고딕"/>
        <family val="0"/>
        <charset val="1"/>
      </rPr>
      <t xml:space="preserve">+1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고급 모델 한정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일반 대비 </t>
    </r>
    <r>
      <rPr>
        <sz val="10"/>
        <rFont val="맑은 고딕"/>
        <family val="0"/>
        <charset val="1"/>
      </rPr>
      <t xml:space="preserve">+5~25%</t>
    </r>
  </si>
  <si>
    <r>
      <rPr>
        <sz val="10"/>
        <rFont val="WenQuanYi Zen Hei"/>
        <family val="2"/>
      </rPr>
      <t xml:space="preserve">베리 적립률 </t>
    </r>
    <r>
      <rPr>
        <sz val="10"/>
        <rFont val="맑은 고딕"/>
        <family val="0"/>
        <charset val="1"/>
      </rPr>
      <t xml:space="preserve">11~20%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일간 </t>
    </r>
    <r>
      <rPr>
        <sz val="10"/>
        <rFont val="맑은 고딕"/>
        <family val="0"/>
        <charset val="1"/>
      </rPr>
      <t xml:space="preserve">+3%p </t>
    </r>
    <r>
      <rPr>
        <sz val="10"/>
        <rFont val="WenQuanYi Zen Hei"/>
        <family val="2"/>
      </rPr>
      <t xml:space="preserve">추가 → 최대 </t>
    </r>
    <r>
      <rPr>
        <sz val="10"/>
        <rFont val="맑은 고딕"/>
        <family val="0"/>
        <charset val="1"/>
      </rPr>
      <t xml:space="preserve">23%.
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정산율은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여부와 무관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</si>
  <si>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사업화 성과에 따라 상향
그 외 모델은 두 등급 모두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</si>
  <si>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월드에 한해 티어 비율에 가산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작품에 한해 티어 비율에 가산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추가 지급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캐럿</t>
    </r>
    <r>
      <rPr>
        <sz val="10"/>
        <rFont val="맑은 고딕"/>
        <family val="0"/>
        <charset val="1"/>
      </rPr>
      <t xml:space="preserve">)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</si>
  <si>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해당 캐릭터만 </t>
    </r>
    <r>
      <rPr>
        <sz val="10"/>
        <rFont val="맑은 고딕"/>
        <family val="0"/>
        <charset val="1"/>
      </rPr>
      <t xml:space="preserve">8% → 12%</t>
    </r>
  </si>
  <si>
    <r>
      <rPr>
        <sz val="10"/>
        <rFont val="WenQuanYi Zen Hei"/>
        <family val="2"/>
      </rPr>
      <t xml:space="preserve">프로챗 전환 후 </t>
    </r>
    <r>
      <rPr>
        <sz val="10"/>
        <rFont val="맑은 고딕"/>
        <family val="0"/>
        <charset val="1"/>
      </rPr>
      <t xml:space="preserve">1.1~2.3% (</t>
    </r>
    <r>
      <rPr>
        <sz val="10"/>
        <rFont val="WenQuanYi Zen Hei"/>
        <family val="2"/>
      </rPr>
      <t xml:space="preserve">제도상 최대치는 하이퍼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신작의 </t>
    </r>
    <r>
      <rPr>
        <sz val="10"/>
        <rFont val="맑은 고딕"/>
        <family val="0"/>
        <charset val="1"/>
      </rPr>
      <t xml:space="preserve">2.3%)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</si>
  <si>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16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3.1 24</t>
    </r>
    <r>
      <rPr>
        <sz val="10"/>
        <rFont val="WenQuanYi Zen Hei"/>
        <family val="2"/>
      </rPr>
      <t xml:space="preserve">원
집중 최대 </t>
    </r>
    <r>
      <rPr>
        <sz val="10"/>
        <rFont val="맑은 고딕"/>
        <family val="0"/>
        <charset val="1"/>
      </rPr>
      <t xml:space="preserve">50%: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7.5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</si>
  <si>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= 20% /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동시 적용 가능 여부는 문서상 불명</t>
    </r>
  </si>
  <si>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</t>
    </r>
  </si>
  <si>
    <t xml:space="preserve">기존 작품 전환</t>
  </si>
  <si>
    <r>
      <rPr>
        <sz val="10"/>
        <rFont val="WenQuanYi Zen Hei"/>
        <family val="2"/>
      </rPr>
      <t xml:space="preserve">타 플랫폼에서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처리하면 등록 가능</t>
    </r>
  </si>
  <si>
    <r>
      <rPr>
        <sz val="10"/>
        <rFont val="WenQuanYi Zen Hei"/>
        <family val="2"/>
      </rPr>
      <t xml:space="preserve">전환 즉시 타 플랫폼 전부에서 업데이트 중단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중단 공지 게시 의무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공지 문구 예시를 문서에서 제공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</si>
  <si>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타 서비스 작품을 비공개 혹은 삭제하는 형태는 대상으로 인정되지 않음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타 서비스를 사랑해주시는 분들이 계시기 때문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 사유 명시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</si>
  <si>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적립률은 적립 시점 기준이라 이미 쌓인 인센티브는 소급 재계산되지 않음</t>
    </r>
  </si>
  <si>
    <t xml:space="preserve">경계 규정</t>
  </si>
  <si>
    <r>
      <rPr>
        <sz val="10"/>
        <rFont val="WenQuanYi Zen Hei"/>
        <family val="2"/>
      </rPr>
      <t xml:space="preserve">세계관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배경만 공유하고 캐릭터 설정이 분명히 다르면 허용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플랫폼 캐릭터의 리메이크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성인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비성인 버전 변경은 불가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</si>
  <si>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</si>
  <si>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또는 유사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월드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작품의 타 플랫폼 공개를 금지</t>
    </r>
  </si>
  <si>
    <t xml:space="preserve">독점으로 전환한 캐릭터는 경쟁 서비스 신규 등록 불가</t>
  </si>
  <si>
    <t xml:space="preserve">위반 시</t>
  </si>
  <si>
    <r>
      <rPr>
        <sz val="10"/>
        <rFont val="WenQuanYi Zen Hei"/>
        <family val="2"/>
      </rPr>
      <t xml:space="preserve">관리자 확인 과정에서 해제 또는 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금전 제재 조항 없음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</si>
  <si>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·IP </t>
    </r>
    <r>
      <rPr>
        <sz val="10"/>
        <rFont val="WenQuanYi Zen Hei"/>
        <family val="2"/>
      </rPr>
      <t xml:space="preserve">도용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 정책 반복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신의성실 원칙 위반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 명시 없음</t>
    </r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</si>
  <si>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적용 기간 중 타 플랫폼에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유사 월드 공개하거나 해당 월드를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→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약정 기간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보너스분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인센티브는 회수하지 않음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동일 사유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계약 혜택 환수 또는 지급 중단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합의된 개선 범위 미이행 시 인센티브 지급 제외 또는 계약 해제</t>
    </r>
  </si>
  <si>
    <t xml:space="preserve">환수 조항 없음</t>
  </si>
  <si>
    <t xml:space="preserve">유저 부담 비용</t>
  </si>
  <si>
    <r>
      <rPr>
        <sz val="10"/>
        <rFont val="WenQuanYi Zen Hei"/>
        <family val="2"/>
      </rPr>
      <t xml:space="preserve">일반 캐릭터와 동일 — 크리에이터 적립률만 상승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플랫폼이 마진에서 부담</t>
    </r>
    <r>
      <rPr>
        <sz val="10"/>
        <rFont val="맑은 고딕"/>
        <family val="0"/>
        <charset val="1"/>
      </rPr>
      <t xml:space="preserve">)</t>
    </r>
  </si>
  <si>
    <t xml:space="preserve">노출 혜택</t>
  </si>
  <si>
    <r>
      <rPr>
        <sz val="10"/>
        <rFont val="맑은 고딕"/>
        <family val="0"/>
        <charset val="1"/>
      </rPr>
      <t xml:space="preserve">'Original' </t>
    </r>
    <r>
      <rPr>
        <sz val="10"/>
        <rFont val="WenQuanYi Zen Hei"/>
        <family val="2"/>
      </rPr>
      <t xml:space="preserve">뱃지 썸네일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태그 자동 부여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태그 검색 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</si>
  <si>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[B Only] </t>
    </r>
    <r>
      <rPr>
        <sz val="10"/>
        <rFont val="WenQuanYi Zen Hei"/>
        <family val="2"/>
      </rPr>
      <t xml:space="preserve">마크 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), [B Only </t>
    </r>
    <r>
      <rPr>
        <sz val="10"/>
        <rFont val="WenQuanYi Zen Hei"/>
        <family val="2"/>
      </rPr>
      <t xml:space="preserve">전용관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편성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 집중 지원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</si>
  <si>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집중 퍼블리싱은 소수 대표작으로 집중 투자</t>
    </r>
  </si>
  <si>
    <r>
      <rPr>
        <sz val="10"/>
        <rFont val="WenQuanYi Zen Hei"/>
        <family val="2"/>
      </rPr>
      <t xml:space="preserve">독점공개 배지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 배지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</si>
  <si>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t xml:space="preserve">플랫폼 주장 효과</t>
  </si>
  <si>
    <r>
      <rPr>
        <sz val="10"/>
        <rFont val="WenQuanYi Zen Hei"/>
        <family val="2"/>
      </rPr>
      <t xml:space="preserve">캐릭터당 평균 채팅 일반 </t>
    </r>
    <r>
      <rPr>
        <sz val="10"/>
        <rFont val="맑은 고딕"/>
        <family val="0"/>
        <charset val="1"/>
      </rPr>
      <t xml:space="preserve">161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1,061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6.6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플랫폼 자체 발표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선택편향 가능성 있음</t>
    </r>
  </si>
  <si>
    <t xml:space="preserve">소프트 독점 압박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</si>
  <si>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동일한 캐릭터를 타 플랫폼에 중복 게시하지 않는 것을 권장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문서 내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강제 조항은 아님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</si>
  <si>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활동하시는 크리에이터의 작품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및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안정성이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 비공개 이력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가 선정 조건에 포함</t>
    </r>
  </si>
  <si>
    <r>
      <rPr>
        <sz val="10"/>
        <rFont val="WenQuanYi Zen Hei"/>
        <family val="2"/>
      </rPr>
      <t xml:space="preserve">해당 없음 — 독점은 명시적 제도로 분리되어 있고 티어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크리에이터에는 독점 조건이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</si>
  <si>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건당 정액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베이비챗만 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정액제는 유저가 아무리 많이 결제해도 크리에이터 몫이 메시지 수에 고정됨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</si>
  <si>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베리는 현금화 경로가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10~20%</t>
    </r>
    <r>
      <rPr>
        <sz val="10"/>
        <rFont val="WenQuanYi Zen Hei"/>
        <family val="2"/>
      </rPr>
      <t xml:space="preserve">도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을 거치면 실질 </t>
    </r>
    <r>
      <rPr>
        <sz val="10"/>
        <rFont val="맑은 고딕"/>
        <family val="0"/>
        <charset val="1"/>
      </rPr>
      <t xml:space="preserve">1~2.3%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</si>
  <si>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베이비챗의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 조합은 롱테일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신인 크리에이터의 적립분을 사실상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으로 만듦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</si>
  <si>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독점작 제도는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베이비챗에만 존재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둘 다 심사 없는 셀프 등록이고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중 해제 불가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</si>
  <si>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베리는 현금 경로 자체가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전환 후에만 현금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</si>
  <si>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엘린과 젠잇만 모수를 명시한 정률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 캐릭터 사용액의 </t>
    </r>
    <r>
      <rPr>
        <sz val="10"/>
        <rFont val="맑은 고딕"/>
        <family val="0"/>
        <charset val="1"/>
      </rPr>
      <t xml:space="preserve">3%/8%, </t>
    </r>
    <r>
      <rPr>
        <sz val="10"/>
        <rFont val="WenQuanYi Zen Hei"/>
        <family val="2"/>
      </rPr>
      <t xml:space="preserve">젠잇 유료 사용 금액의 </t>
    </r>
    <r>
      <rPr>
        <sz val="10"/>
        <rFont val="맑은 고딕"/>
        <family val="0"/>
        <charset val="1"/>
      </rPr>
      <t xml:space="preserve">5~50%). </t>
    </r>
    <r>
      <rPr>
        <sz val="10"/>
        <rFont val="WenQuanYi Zen Hei"/>
        <family val="2"/>
      </rPr>
      <t xml:space="preserve">다른 곳은 </t>
    </r>
    <r>
      <rPr>
        <sz val="10"/>
        <rFont val="맑은 고딕"/>
        <family val="0"/>
        <charset val="1"/>
      </rPr>
      <t xml:space="preserve">% </t>
    </r>
    <r>
      <rPr>
        <sz val="10"/>
        <rFont val="WenQuanYi Zen Hei"/>
        <family val="2"/>
      </rPr>
      <t xml:space="preserve">자체가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정액제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</si>
  <si>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지급 수단을 모델별로 갈라놓음 — 자사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크리에이터가 자사 모델을 쓰도록 유도하는 설계</t>
    </r>
  </si>
  <si>
    <r>
      <rPr>
        <b val="true"/>
        <sz val="14"/>
        <rFont val="WenQuanYi Zen Hei"/>
        <family val="2"/>
      </rPr>
      <t xml:space="preserve">채팅 </t>
    </r>
    <r>
      <rPr>
        <b val="true"/>
        <sz val="14"/>
        <rFont val="맑은 고딕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건당 크리에이터 실수령액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세전</t>
    </r>
    <r>
      <rPr>
        <b val="true"/>
        <sz val="1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</si>
  <si>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주의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이것은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정산율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이 아니라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건당 수령액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유저가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회에 지불하는 금액이 플랫폼마다 달라 매출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비교가 아닙니다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</si>
  <si>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환산 기준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노란 칸을 고치면 아래 표가 전부 재계산됩니다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</si>
  <si>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</t>
    </r>
  </si>
  <si>
    <t xml:space="preserve">원</t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</si>
  <si>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케이브덕 인센티브 문서 — </t>
    </r>
    <r>
      <rPr>
        <i val="true"/>
        <sz val="9"/>
        <color rgb="FF595959"/>
        <rFont val="맑은 고딕"/>
        <family val="0"/>
        <charset val="1"/>
      </rPr>
      <t xml:space="preserve">200,000pt → 120,000</t>
    </r>
    <r>
      <rPr>
        <i val="true"/>
        <sz val="9"/>
        <color rgb="FF595959"/>
        <rFont val="WenQuanYi Zen Hei"/>
        <family val="2"/>
      </rPr>
      <t xml:space="preserve">원 </t>
    </r>
    <r>
      <rPr>
        <i val="true"/>
        <sz val="9"/>
        <color rgb="FF595959"/>
        <rFont val="맑은 고딕"/>
        <family val="0"/>
        <charset val="1"/>
      </rPr>
      <t xml:space="preserve">(3</t>
    </r>
    <r>
      <rPr>
        <i val="true"/>
        <sz val="9"/>
        <color rgb="FF595959"/>
        <rFont val="WenQuanYi Zen Hei"/>
        <family val="2"/>
      </rPr>
      <t xml:space="preserve">개 구간 모두 </t>
    </r>
    <r>
      <rPr>
        <i val="true"/>
        <sz val="9"/>
        <color rgb="FF595959"/>
        <rFont val="맑은 고딕"/>
        <family val="0"/>
        <charset val="1"/>
      </rPr>
      <t xml:space="preserve">0.6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/pt</t>
    </r>
    <r>
      <rPr>
        <i val="true"/>
        <sz val="9"/>
        <color rgb="FF595959"/>
        <rFont val="WenQuanYi Zen Hei"/>
        <family val="2"/>
      </rPr>
      <t xml:space="preserve">로 일정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</si>
  <si>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스토리엔진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</si>
  <si>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스토리엔진 비용 정산 문서 — </t>
    </r>
    <r>
      <rPr>
        <i val="true"/>
        <sz val="9"/>
        <color rgb="FF595959"/>
        <rFont val="맑은 고딕"/>
        <family val="0"/>
        <charset val="1"/>
      </rPr>
      <t xml:space="preserve">'1 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7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</si>
  <si>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베이비챗  베리 현금 환산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</si>
  <si>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베리는 프로챗 전환</t>
    </r>
    <r>
      <rPr>
        <i val="true"/>
        <sz val="9"/>
        <color rgb="FF595959"/>
        <rFont val="맑은 고딕"/>
        <family val="0"/>
        <charset val="1"/>
      </rPr>
      <t xml:space="preserve">(10:1) </t>
    </r>
    <r>
      <rPr>
        <i val="true"/>
        <sz val="9"/>
        <color rgb="FF595959"/>
        <rFont val="WenQuanYi Zen Hei"/>
        <family val="2"/>
      </rPr>
      <t xml:space="preserve">또는 베리샵 교환만 가능 — 현금 출금 경로 없음</t>
    </r>
  </si>
  <si>
    <r>
      <rPr>
        <sz val="10"/>
        <rFont val="WenQuanYi Zen Hei"/>
        <family val="2"/>
      </rPr>
      <t xml:space="preserve">루나톡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</si>
  <si>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 정산 구조가 자료에 없음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미확인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확인된 조항은 후원 포인트 </t>
    </r>
    <r>
      <rPr>
        <i val="true"/>
        <sz val="9"/>
        <color rgb="FF595959"/>
        <rFont val="맑은 고딕"/>
        <family val="0"/>
        <charset val="1"/>
      </rPr>
      <t xml:space="preserve">90~97%</t>
    </r>
    <r>
      <rPr>
        <i val="true"/>
        <sz val="9"/>
        <color rgb="FF595959"/>
        <rFont val="WenQuanYi Zen Hei"/>
        <family val="2"/>
      </rPr>
      <t xml:space="preserve">뿐</t>
    </r>
  </si>
  <si>
    <r>
      <rPr>
        <sz val="10"/>
        <rFont val="WenQuanYi Zen Hei"/>
        <family val="2"/>
      </rPr>
      <t xml:space="preserve">에덴챗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</si>
  <si>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채팅이 무료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정형화된 요율표 없이 제작자별 맞춤형 개별 협의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</si>
  <si>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페이브챗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</si>
  <si>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약관상 비율은 운영정책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개별 계약에 위임되고 기밀유지 의무가 걸려 있어 미공개</t>
    </r>
  </si>
  <si>
    <r>
      <rPr>
        <sz val="10"/>
        <rFont val="WenQuanYi Zen Hei"/>
        <family val="2"/>
      </rPr>
      <t xml:space="preserve">젠잇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</si>
  <si>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제니 가격표 기본가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대량 구매 시 </t>
    </r>
    <r>
      <rPr>
        <i val="true"/>
        <sz val="9"/>
        <color rgb="FF595959"/>
        <rFont val="맑은 고딕"/>
        <family val="0"/>
        <charset val="1"/>
      </rPr>
      <t xml:space="preserve">0.97 → 0.95 → 0.93 → 0.91</t>
    </r>
    <r>
      <rPr>
        <i val="true"/>
        <sz val="9"/>
        <color rgb="FF595959"/>
        <rFont val="WenQuanYi Zen Hei"/>
        <family val="2"/>
      </rPr>
      <t xml:space="preserve">원까지 하락</t>
    </r>
  </si>
  <si>
    <t xml:space="preserve">플랫폼</t>
  </si>
  <si>
    <t xml:space="preserve">모델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</si>
  <si>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(pt/</t>
    </r>
    <r>
      <rPr>
        <b val="true"/>
        <sz val="10"/>
        <color rgb="FFFFFFFF"/>
        <rFont val="WenQuanYi Zen Hei"/>
        <family val="2"/>
      </rPr>
      <t xml:space="preserve">크레딧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</si>
  <si>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</si>
  <si>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</si>
  <si>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독점작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</si>
  <si>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전속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</si>
  <si>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 가산율</t>
  </si>
  <si>
    <t xml:space="preserve">Claude Opus 5 / 4.7 / 4.6</t>
  </si>
  <si>
    <t xml:space="preserve">GPT-5.4</t>
  </si>
  <si>
    <t xml:space="preserve">Claude Sonnet 4.6</t>
  </si>
  <si>
    <t xml:space="preserve">Gemini 3.1 Pro</t>
  </si>
  <si>
    <t xml:space="preserve">Gemini 2.5 Pro</t>
  </si>
  <si>
    <t xml:space="preserve">Gemini 3.5 Flash</t>
  </si>
  <si>
    <t xml:space="preserve">GLM 5</t>
  </si>
  <si>
    <t xml:space="preserve">Gemini 3 Flash</t>
  </si>
  <si>
    <t xml:space="preserve">Donald 2</t>
  </si>
  <si>
    <t xml:space="preserve">Gemini 3.6 Flash</t>
  </si>
  <si>
    <t xml:space="preserve">Momo</t>
  </si>
  <si>
    <r>
      <rPr>
        <sz val="10"/>
        <rFont val="맑은 고딕"/>
        <family val="0"/>
        <charset val="1"/>
      </rPr>
      <t xml:space="preserve">Gemini 3.7 Flash (</t>
    </r>
    <r>
      <rPr>
        <sz val="10"/>
        <rFont val="WenQuanYi Zen Hei"/>
        <family val="2"/>
      </rPr>
      <t xml:space="preserve">이벤트가</t>
    </r>
    <r>
      <rPr>
        <sz val="10"/>
        <rFont val="맑은 고딕"/>
        <family val="0"/>
        <charset val="1"/>
      </rPr>
      <t xml:space="preserve">)</t>
    </r>
  </si>
  <si>
    <t xml:space="preserve">DeepSeek V3.2</t>
  </si>
  <si>
    <t xml:space="preserve">DeepSeek V4 Pro</t>
  </si>
  <si>
    <t xml:space="preserve">DeepSeek V4 Flash</t>
  </si>
  <si>
    <t xml:space="preserve">Breeze</t>
  </si>
  <si>
    <t xml:space="preserve">claude-4.5-sonnet</t>
  </si>
  <si>
    <t xml:space="preserve">gemini-3.0-pro</t>
  </si>
  <si>
    <t xml:space="preserve">gemini-2.5-pro</t>
  </si>
  <si>
    <t xml:space="preserve">gemini-2.5-flash</t>
  </si>
  <si>
    <t xml:space="preserve">이벤트 — 최저 단가 모델</t>
  </si>
  <si>
    <t xml:space="preserve">이벤트 — 최고 단가 모델</t>
  </si>
  <si>
    <t xml:space="preserve">전 모델 — 현금 경로 없음</t>
  </si>
  <si>
    <t xml:space="preserve">전 모델 — 정산 구조 미확인</t>
  </si>
  <si>
    <r>
      <rPr>
        <sz val="10"/>
        <rFont val="WenQuanYi Zen Hei"/>
        <family val="2"/>
      </rPr>
      <t xml:space="preserve">전 모델 — 채팅 무료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요율표 없음</t>
    </r>
  </si>
  <si>
    <t xml:space="preserve">전 모델 — 비율 미공개</t>
  </si>
  <si>
    <r>
      <rPr>
        <sz val="10"/>
        <rFont val="WenQuanYi Zen Hei"/>
        <family val="2"/>
      </rPr>
      <t xml:space="preserve">전 모델 — 정률 구조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별도 표</t>
    </r>
    <r>
      <rPr>
        <sz val="10"/>
        <rFont val="맑은 고딕"/>
        <family val="0"/>
        <charset val="1"/>
      </rPr>
      <t xml:space="preserve">)</t>
    </r>
  </si>
  <si>
    <t xml:space="preserve">전 모델 — 기준 요율 비공개</t>
  </si>
  <si>
    <t xml:space="preserve">읽는 법</t>
  </si>
  <si>
    <r>
      <rPr>
        <sz val="10"/>
        <rFont val="맑은 고딕"/>
        <family val="0"/>
        <charset val="1"/>
      </rPr>
      <t xml:space="preserve">· Sonnet</t>
    </r>
    <r>
      <rPr>
        <sz val="10"/>
        <rFont val="WenQuanYi Zen Hei"/>
        <family val="2"/>
      </rPr>
      <t xml:space="preserve">급 비교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최상위 </t>
    </r>
    <r>
      <rPr>
        <sz val="10"/>
        <rFont val="맑은 고딕"/>
        <family val="0"/>
        <charset val="1"/>
      </rPr>
      <t xml:space="preserve">Opus(12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못 미침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</si>
  <si>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전속 가산은 정액 </t>
    </r>
    <r>
      <rPr>
        <sz val="10"/>
        <rFont val="맑은 고딕"/>
        <family val="0"/>
        <charset val="1"/>
      </rPr>
      <t xml:space="preserve">+2pt</t>
    </r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유저가 많이 쓰는 고급 모델일수록 가산율이 낮음 </t>
    </r>
    <r>
      <rPr>
        <sz val="10"/>
        <rFont val="맑은 고딕"/>
        <family val="0"/>
        <charset val="1"/>
      </rPr>
      <t xml:space="preserve">(Opus +10% = 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</si>
  <si>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Donald 2 / Momo / Breeze / DeepSeek V4 Flash </t>
    </r>
    <r>
      <rPr>
        <sz val="10"/>
        <rFont val="WenQuanYi Zen Hei"/>
        <family val="2"/>
      </rPr>
      <t xml:space="preserve">는 전속이어도 가산 </t>
    </r>
    <r>
      <rPr>
        <sz val="10"/>
        <rFont val="맑은 고딕"/>
        <family val="0"/>
        <charset val="1"/>
      </rPr>
      <t xml:space="preserve">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</si>
  <si>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Gemini 3.6 Flash: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 </t>
    </r>
    <r>
      <rPr>
        <sz val="10"/>
        <rFont val="WenQuanYi Zen Hei"/>
        <family val="2"/>
      </rPr>
      <t xml:space="preserve">로 충돌 → 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</si>
  <si>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원은 진행 중인 이벤트 단가 — 상시 요율이 아니며 종료 후 조건은 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노란색 표시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</si>
  <si>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케이브덕 부가 수익원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같은 플랫폼 안에서 회수율이 </t>
    </r>
    <r>
      <rPr>
        <b val="true"/>
        <sz val="10"/>
        <rFont val="맑은 고딕"/>
        <family val="0"/>
        <charset val="1"/>
      </rPr>
      <t xml:space="preserve">7.5</t>
    </r>
    <r>
      <rPr>
        <b val="true"/>
        <sz val="10"/>
        <rFont val="WenQuanYi Zen Hei"/>
        <family val="2"/>
      </rPr>
      <t xml:space="preserve">배까지 차이남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</si>
  <si>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이미지 잠금 해제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500 </t>
    </r>
    <r>
      <rPr>
        <sz val="10"/>
        <rFont val="WenQuanYi Zen Hei"/>
        <family val="2"/>
      </rPr>
      <t xml:space="preserve">깃털 → 크리에이터 </t>
    </r>
    <r>
      <rPr>
        <sz val="10"/>
        <rFont val="맑은 고딕"/>
        <family val="0"/>
        <charset val="1"/>
      </rPr>
      <t xml:space="preserve">250pt (150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0.500pt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</si>
  <si>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 유료 회차 열람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300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100pt (60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0.333pt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</si>
  <si>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슈퍼보이스 재생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80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8pt (4.8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0.100pt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</si>
  <si>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스냅샷 사용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150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10pt (6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0.067pt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</si>
  <si>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친구 추천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1,000pt 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피추천인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깃털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 후 지급</t>
    </r>
  </si>
  <si>
    <r>
      <rPr>
        <b val="true"/>
        <sz val="10"/>
        <rFont val="WenQuanYi Zen Hei"/>
        <family val="2"/>
      </rPr>
      <t xml:space="preserve">정률 구조 플랫폼 — 크리에이터 몫 </t>
    </r>
    <r>
      <rPr>
        <b val="true"/>
        <sz val="10"/>
        <rFont val="맑은 고딕"/>
        <family val="0"/>
        <charset val="1"/>
      </rPr>
      <t xml:space="preserve">(%)</t>
    </r>
  </si>
  <si>
    <r>
      <rPr>
        <i val="true"/>
        <sz val="9"/>
        <color rgb="FF595959"/>
        <rFont val="WenQuanYi Zen Hei"/>
        <family val="2"/>
      </rPr>
      <t xml:space="preserve">※ 모수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무엇의 몇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인가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가 서로 달라 숫자만 나란히 놓고 비교하면 안 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모수가 명시된 곳은 엘린과 베이비챗 베리뿐입니다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</si>
  <si>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플랫폼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수익원</t>
    </r>
  </si>
  <si>
    <t xml:space="preserve">모수</t>
  </si>
  <si>
    <t xml:space="preserve">엘린 — 캐릭터 사용</t>
  </si>
  <si>
    <r>
      <rPr>
        <sz val="10"/>
        <rFont val="WenQuanYi Zen Hei"/>
        <family val="2"/>
      </rPr>
      <t xml:space="preserve">캐릭터 사용액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재화 환산액 여부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</si>
  <si>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본인인증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</si>
  <si>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젠잇 — 튜닝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현금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</si>
  <si>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</si>
  <si>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</si>
  <si>
    <r>
      <rPr>
        <b val="true"/>
        <sz val="10"/>
        <rFont val="WenQuanYi Zen Hei"/>
        <family val="2"/>
      </rPr>
      <t xml:space="preserve">젠잇 — 그 외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젤리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</si>
  <si>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등급 </t>
    </r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현금이 아닌 젤리로 지급</t>
    </r>
  </si>
  <si>
    <t xml:space="preserve">플레이툰 — 블루젬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</si>
  <si>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</si>
  <si>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</t>
    </r>
  </si>
  <si>
    <r>
      <rPr>
        <b val="true"/>
        <sz val="10"/>
        <rFont val="WenQuanYi Zen Hei"/>
        <family val="2"/>
      </rPr>
      <t xml:space="preserve">위프 — 유료 채팅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잠금 이미지</t>
    </r>
  </si>
  <si>
    <r>
      <rPr>
        <sz val="10"/>
        <rFont val="WenQuanYi Zen Hei"/>
        <family val="2"/>
      </rPr>
      <t xml:space="preserve">정산 대상 채팅 수익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범위는 명시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요율은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</si>
  <si>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루키 기준 요율 비공개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</si>
  <si>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둠칫 — 월드 쿠키 사용액</t>
  </si>
  <si>
    <r>
      <rPr>
        <sz val="10"/>
        <rFont val="WenQuanYi Zen Hei"/>
        <family val="2"/>
      </rPr>
      <t xml:space="preserve">다른 사용자가 내 월드에서 사용한 쿠키 총액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</si>
  <si>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 +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또는 오리지널 </t>
    </r>
    <r>
      <rPr>
        <sz val="10"/>
        <rFont val="맑은 고딕"/>
        <family val="0"/>
        <charset val="1"/>
      </rPr>
      <t xml:space="preserve">5% →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22%</t>
    </r>
  </si>
  <si>
    <t xml:space="preserve">티팟 — 유료 리프 사용액</t>
  </si>
  <si>
    <r>
      <rPr>
        <sz val="10"/>
        <rFont val="WenQuanYi Zen Hei"/>
        <family val="2"/>
      </rPr>
      <t xml:space="preserve">다른 유저가 내 캐릭터에 사용한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</si>
  <si>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/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</si>
  <si>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t xml:space="preserve">유니챗 — 유료 스텔라 사용량</t>
  </si>
  <si>
    <r>
      <rPr>
        <sz val="10"/>
        <rFont val="WenQuanYi Zen Hei"/>
        <family val="2"/>
      </rPr>
      <t xml:space="preserve">유료 스텔라 사용량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</si>
  <si>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). 2026.07.01~2028.06.30 2</t>
    </r>
    <r>
      <rPr>
        <sz val="10"/>
        <rFont val="WenQuanYi Zen Hei"/>
        <family val="2"/>
      </rPr>
      <t xml:space="preserve">년 확약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초기 제작자 한정</t>
    </r>
  </si>
  <si>
    <t xml:space="preserve">우마이 — 유료 캐롯 소모액</t>
  </si>
  <si>
    <r>
      <rPr>
        <sz val="10"/>
        <rFont val="WenQuanYi Zen Hei"/>
        <family val="2"/>
      </rPr>
      <t xml:space="preserve">작품에 소모된 유료 캐롯 총액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</si>
  <si>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8%(~12%) —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</si>
  <si>
    <t xml:space="preserve">팅글 — 애셋 유료 대화 수익</t>
  </si>
  <si>
    <r>
      <rPr>
        <sz val="10"/>
        <rFont val="WenQuanYi Zen Hei"/>
        <family val="2"/>
      </rPr>
      <t xml:space="preserve">애셋의 유료 대화 수익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</si>
  <si>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 — </t>
    </r>
    <r>
      <rPr>
        <sz val="10"/>
        <rFont val="WenQuanYi Zen Hei"/>
        <family val="2"/>
      </rPr>
      <t xml:space="preserve">일반 크리에이터 기준 최고 표기 수치</t>
    </r>
  </si>
  <si>
    <t xml:space="preserve">이세계트럭 — 미확인</t>
  </si>
  <si>
    <t xml:space="preserve">모수 미명시</t>
  </si>
  <si>
    <r>
      <rPr>
        <sz val="10"/>
        <rFont val="맑은 고딕"/>
        <family val="0"/>
        <charset val="1"/>
      </rPr>
      <t xml:space="preserve">10% ('</t>
    </r>
    <r>
      <rPr>
        <sz val="10"/>
        <rFont val="WenQuanYi Zen Hei"/>
        <family val="2"/>
      </rPr>
      <t xml:space="preserve">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미확인</t>
    </r>
    <r>
      <rPr>
        <sz val="10"/>
        <rFont val="맑은 고딕"/>
        <family val="0"/>
        <charset val="1"/>
      </rPr>
      <t xml:space="preserve">)</t>
    </r>
  </si>
  <si>
    <t xml:space="preserve">베이비챗 — 베리 적립</t>
  </si>
  <si>
    <t xml:space="preserve">구매 프로챗 소모량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</si>
  <si>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후 실질 </t>
    </r>
    <r>
      <rPr>
        <sz val="10"/>
        <rFont val="맑은 고딕"/>
        <family val="0"/>
        <charset val="1"/>
      </rPr>
      <t xml:space="preserve">1.0~2.3%</t>
    </r>
  </si>
  <si>
    <t xml:space="preserve">베이비챗 — 응원하기</t>
  </si>
  <si>
    <r>
      <rPr>
        <sz val="10"/>
        <rFont val="맑은 고딕"/>
        <family val="0"/>
        <charset val="1"/>
      </rPr>
      <t xml:space="preserve">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</t>
    </r>
  </si>
  <si>
    <t xml:space="preserve">루나톡 — 후원 포인트</t>
  </si>
  <si>
    <r>
      <rPr>
        <sz val="10"/>
        <rFont val="맑은 고딕"/>
        <family val="0"/>
        <charset val="1"/>
      </rPr>
      <t xml:space="preserve">90 / 95 / 97 / 97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</t>
    </r>
  </si>
  <si>
    <t xml:space="preserve">케이브덕 — 윙 선물</t>
  </si>
  <si>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20%) 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90%</t>
    </r>
  </si>
  <si>
    <t xml:space="preserve">스토리엔진 — 구독</t>
  </si>
  <si>
    <r>
      <rPr>
        <sz val="10"/>
        <rFont val="맑은 고딕"/>
        <family val="0"/>
        <charset val="1"/>
      </rPr>
      <t xml:space="preserve">28% — </t>
    </r>
    <r>
      <rPr>
        <sz val="10"/>
        <rFont val="WenQuanYi Zen Hei"/>
        <family val="2"/>
      </rPr>
      <t xml:space="preserve">플랫폼 수수료인지 크리에이터 몫인지 해석 필요</t>
    </r>
  </si>
  <si>
    <t xml:space="preserve">페이브챗 — 전체</t>
  </si>
  <si>
    <r>
      <rPr>
        <sz val="10"/>
        <rFont val="WenQuanYi Zen Hei"/>
        <family val="2"/>
      </rPr>
      <t xml:space="preserve">미공개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기밀유지 의무</t>
    </r>
    <r>
      <rPr>
        <sz val="10"/>
        <rFont val="맑은 고딕"/>
        <family val="0"/>
        <charset val="1"/>
      </rPr>
      <t xml:space="preserve">)</t>
    </r>
  </si>
  <si>
    <t xml:space="preserve">에덴챗 — 전체</t>
  </si>
  <si>
    <t xml:space="preserve">요율표 없음 — 제작자별 맞춤형 개별 협의</t>
  </si>
  <si>
    <r>
      <rPr>
        <b val="true"/>
        <sz val="10"/>
        <rFont val="WenQuanYi Zen Hei"/>
        <family val="2"/>
      </rPr>
      <t xml:space="preserve">젠잇 — 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크리에이터 현금 수령액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젠잇 튜닝 모델 정산분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</si>
  <si>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유일하게 요율과 유저 결제 단가가 모두 공개돼 있어 실제 금액 계산이 가능한 사례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기본가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제니</t>
    </r>
    <r>
      <rPr>
        <i val="true"/>
        <sz val="9"/>
        <color rgb="FF595959"/>
        <rFont val="맑은 고딕"/>
        <family val="0"/>
        <charset val="1"/>
      </rPr>
      <t xml:space="preserve">=1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기준이며 대량 구매 할인 시 최대 </t>
    </r>
    <r>
      <rPr>
        <i val="true"/>
        <sz val="9"/>
        <color rgb="FF595959"/>
        <rFont val="맑은 고딕"/>
        <family val="0"/>
        <charset val="1"/>
      </rPr>
      <t xml:space="preserve">9% </t>
    </r>
    <r>
      <rPr>
        <i val="true"/>
        <sz val="9"/>
        <color rgb="FF595959"/>
        <rFont val="WenQuanYi Zen Hei"/>
        <family val="2"/>
      </rPr>
      <t xml:space="preserve">감소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</si>
  <si>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채팅당 제니</t>
  </si>
  <si>
    <t xml:space="preserve">공개작</t>
  </si>
  <si>
    <t xml:space="preserve">맞춤작</t>
  </si>
  <si>
    <t xml:space="preserve">오리지널 퍼블리싱</t>
  </si>
  <si>
    <r>
      <rPr>
        <b val="true"/>
        <sz val="10"/>
        <color rgb="FFFFFFFF"/>
        <rFont val="WenQuanYi Zen Hei"/>
        <family val="2"/>
      </rPr>
      <t xml:space="preserve">집중 퍼블리싱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</si>
  <si>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요율</t>
  </si>
  <si>
    <t xml:space="preserve">→</t>
  </si>
  <si>
    <t xml:space="preserve">코어</t>
  </si>
  <si>
    <r>
      <rPr>
        <b val="true"/>
        <sz val="10"/>
        <rFont val="WenQuanYi Zen Hei"/>
        <family val="2"/>
      </rPr>
      <t xml:space="preserve">코어</t>
    </r>
    <r>
      <rPr>
        <b val="true"/>
        <sz val="10"/>
        <rFont val="맑은 고딕"/>
        <family val="0"/>
        <charset val="1"/>
      </rPr>
      <t xml:space="preserve">+</t>
    </r>
  </si>
  <si>
    <t xml:space="preserve">프로</t>
  </si>
  <si>
    <r>
      <rPr>
        <b val="true"/>
        <sz val="10"/>
        <rFont val="WenQuanYi Zen Hei"/>
        <family val="2"/>
      </rPr>
      <t xml:space="preserve">프로</t>
    </r>
    <r>
      <rPr>
        <b val="true"/>
        <sz val="10"/>
        <rFont val="맑은 고딕"/>
        <family val="0"/>
        <charset val="1"/>
      </rPr>
      <t xml:space="preserve">3.1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</si>
  <si>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 프로 모델 집중 퍼블리싱 최대치</t>
    </r>
    <r>
      <rPr>
        <sz val="10"/>
        <rFont val="맑은 고딕"/>
        <family val="0"/>
        <charset val="1"/>
      </rPr>
      <t xml:space="preserve">(40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조사 대상 중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크리에이터 수령액이 가장 높음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Sonnet 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</si>
  <si>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반대로 기본 등급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5%)</t>
    </r>
    <r>
      <rPr>
        <sz val="10"/>
        <rFont val="WenQuanYi Zen Hei"/>
        <family val="2"/>
      </rPr>
      <t xml:space="preserve">의 코어 모델은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— 같은 플랫폼 안에서 </t>
    </r>
    <r>
      <rPr>
        <sz val="10"/>
        <rFont val="맑은 고딕"/>
        <family val="0"/>
        <charset val="1"/>
      </rPr>
      <t xml:space="preserve">53</t>
    </r>
    <r>
      <rPr>
        <sz val="10"/>
        <rFont val="WenQuanYi Zen Hei"/>
        <family val="2"/>
      </rPr>
      <t xml:space="preserve">배 차이</t>
    </r>
  </si>
  <si>
    <r>
      <rPr>
        <sz val="10"/>
        <rFont val="맑은 고딕"/>
        <family val="0"/>
        <charset val="1"/>
      </rPr>
      <t xml:space="preserve">· '</t>
    </r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표기가 모호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3</t>
    </r>
    <r>
      <rPr>
        <sz val="10"/>
        <rFont val="WenQuanYi Zen Hei"/>
        <family val="2"/>
      </rPr>
      <t xml:space="preserve">종으로 읽었으나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2</t>
    </r>
    <r>
      <rPr>
        <sz val="10"/>
        <rFont val="WenQuanYi Zen Hei"/>
        <family val="2"/>
      </rPr>
      <t xml:space="preserve">종일 가능성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여부도 불명 — 확인 필요</t>
    </r>
  </si>
  <si>
    <r>
      <rPr>
        <b val="true"/>
        <sz val="10"/>
        <rFont val="WenQuanYi Zen Hei"/>
        <family val="2"/>
      </rPr>
      <t xml:space="preserve">표기 요율과 실질 회수율이 갈리는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단 구조</t>
    </r>
  </si>
  <si>
    <r>
      <rPr>
        <i val="true"/>
        <sz val="9"/>
        <color rgb="FF595959"/>
        <rFont val="WenQuanYi Zen Hei"/>
        <family val="2"/>
      </rPr>
      <t xml:space="preserve">적립은 플랫폼 재화로 하고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그 재화를 쓸 때 한 번 더 깎이는 구조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표기된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만 보면 실제 수입을 크게 오해하게 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</si>
  <si>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표기 요율</t>
  </si>
  <si>
    <t xml:space="preserve">감액 단계</t>
  </si>
  <si>
    <t xml:space="preserve">감액률 공개 여부</t>
  </si>
  <si>
    <t xml:space="preserve">10%</t>
  </si>
  <si>
    <r>
      <rPr>
        <sz val="10"/>
        <rFont val="WenQuanYi Zen Hei"/>
        <family val="2"/>
      </rPr>
      <t xml:space="preserve">블루젬 → 기프티콘 교환 가치 약 </t>
    </r>
    <r>
      <rPr>
        <sz val="10"/>
        <rFont val="맑은 고딕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</si>
  <si>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</t>
    </r>
  </si>
  <si>
    <r>
      <rPr>
        <sz val="10"/>
        <rFont val="WenQuanYi Zen Hei"/>
        <family val="2"/>
      </rPr>
      <t xml:space="preserve">공개 — 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</si>
  <si>
    <t xml:space="preserve">10~23%</t>
  </si>
  <si>
    <r>
      <rPr>
        <sz val="10"/>
        <rFont val="WenQuanYi Zen Hei"/>
        <family val="2"/>
      </rPr>
      <t xml:space="preserve">베리 → 프로챗 전환 </t>
    </r>
    <r>
      <rPr>
        <sz val="10"/>
        <rFont val="맑은 고딕"/>
        <family val="0"/>
        <charset val="1"/>
      </rPr>
      <t xml:space="preserve">10:1</t>
    </r>
  </si>
  <si>
    <t xml:space="preserve">1.0~2.3%</t>
  </si>
  <si>
    <t xml:space="preserve">미공개 — 전환 비율만 표기하고 실질 수치는 밝히지 않음</t>
  </si>
  <si>
    <r>
      <rPr>
        <b val="true"/>
        <sz val="10"/>
        <rFont val="WenQuanYi Zen Hei"/>
        <family val="2"/>
      </rPr>
      <t xml:space="preserve">젠잇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그 외 모델</t>
    </r>
    <r>
      <rPr>
        <b val="true"/>
        <sz val="10"/>
        <rFont val="맑은 고딕"/>
        <family val="0"/>
        <charset val="1"/>
      </rPr>
      <t xml:space="preserve">)</t>
    </r>
  </si>
  <si>
    <t xml:space="preserve">젤리로 지급 — 현금 가치 미확인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</si>
  <si>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검산</t>
    </r>
    <r>
      <rPr>
        <sz val="10"/>
        <rFont val="맑은 고딕"/>
        <family val="0"/>
        <charset val="1"/>
      </rPr>
      <t xml:space="preserve">: 16,700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5,000</t>
    </r>
    <r>
      <rPr>
        <sz val="10"/>
        <rFont val="WenQuanYi Zen Hei"/>
        <family val="2"/>
      </rPr>
      <t xml:space="preserve">원권</t>
    </r>
    <r>
      <rPr>
        <sz val="10"/>
        <rFont val="맑은 고딕"/>
        <family val="0"/>
        <charset val="1"/>
      </rPr>
      <t xml:space="preserve">, 33,400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30%'</t>
    </r>
    <r>
      <rPr>
        <sz val="10"/>
        <rFont val="WenQuanYi Zen Hei"/>
        <family val="2"/>
      </rPr>
      <t xml:space="preserve">와 일치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</si>
  <si>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한 캐릭터에 소모하면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받는 것은 약 </t>
    </r>
    <r>
      <rPr>
        <sz val="10"/>
        <rFont val="맑은 고딕"/>
        <family val="0"/>
        <charset val="1"/>
      </rPr>
      <t xml:space="preserve">299</t>
    </r>
    <r>
      <rPr>
        <sz val="10"/>
        <rFont val="WenQuanYi Zen Hei"/>
        <family val="2"/>
      </rPr>
      <t xml:space="preserve">원 상당의 기프티콘</t>
    </r>
  </si>
  <si>
    <t xml:space="preserve">한시 프로모션 — 상시 요율로 오해하면 안 되는 것들</t>
  </si>
  <si>
    <r>
      <rPr>
        <i val="true"/>
        <sz val="9"/>
        <color rgb="FF595959"/>
        <rFont val="WenQuanYi Zen Hei"/>
        <family val="2"/>
      </rPr>
      <t xml:space="preserve">조사 대상 상당수가 기간 한정 프로모션으로 정산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보상을 끌어올려 둔 상태입니다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경쟁이 프로모션 국면에 있다는 뜻이며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종료 후 조건은 대부분 미확인입니다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</si>
  <si>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프로모션 내용</t>
  </si>
  <si>
    <t xml:space="preserve">기간</t>
  </si>
  <si>
    <r>
      <rPr>
        <sz val="10"/>
        <rFont val="WenQuanYi Zen Hei"/>
        <family val="2"/>
      </rPr>
      <t xml:space="preserve">일반 크리에이터 대상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</t>
    </r>
  </si>
  <si>
    <r>
      <rPr>
        <sz val="10"/>
        <rFont val="WenQuanYi Zen Hei"/>
        <family val="2"/>
      </rPr>
      <t xml:space="preserve">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</si>
  <si>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채팅수 달성 지원 프로그램 </t>
    </r>
    <r>
      <rPr>
        <sz val="10"/>
        <rFont val="맑은 고딕"/>
        <family val="0"/>
        <charset val="1"/>
      </rPr>
      <t xml:space="preserve">(10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/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</si>
  <si>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</t>
    </r>
  </si>
  <si>
    <t xml:space="preserve">챌린지</t>
  </si>
  <si>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</si>
  <si>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r>
      <rPr>
        <sz val="10"/>
        <rFont val="WenQuanYi Zen Hei"/>
        <family val="2"/>
      </rPr>
      <t xml:space="preserve">타이틀 달성 프로챗 선물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</si>
  <si>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</si>
  <si>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</si>
  <si>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한정</t>
    </r>
  </si>
  <si>
    <r>
      <rPr>
        <sz val="10"/>
        <rFont val="WenQuanYi Zen Hei"/>
        <family val="2"/>
      </rPr>
      <t xml:space="preserve">초회 한정 달성 보상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</t>
    </r>
    <r>
      <rPr>
        <sz val="10"/>
        <rFont val="맑은 고딕"/>
        <family val="0"/>
        <charset val="1"/>
      </rPr>
      <t xml:space="preserve">)</t>
    </r>
  </si>
  <si>
    <t xml:space="preserve">초회 한정</t>
  </si>
  <si>
    <r>
      <rPr>
        <sz val="10"/>
        <rFont val="WenQuanYi Zen Hei"/>
        <family val="2"/>
      </rPr>
      <t xml:space="preserve">파트너 웰컴키트 </t>
    </r>
    <r>
      <rPr>
        <sz val="10"/>
        <rFont val="맑은 고딕"/>
        <family val="0"/>
        <charset val="1"/>
      </rPr>
      <t xml:space="preserve">(RTX 5060 Ti 16GB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</si>
  <si>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첫 선정 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</si>
  <si>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</si>
  <si>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초과분 추가 인센티브</t>
    </r>
  </si>
  <si>
    <r>
      <rPr>
        <sz val="10"/>
        <rFont val="맑은 고딕"/>
        <family val="0"/>
        <charset val="1"/>
      </rPr>
      <t xml:space="preserve">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</si>
  <si>
    <t xml:space="preserve">정산률 변경 리스크 — 크리에이터가 조건 유지를 믿을 수 있는가</t>
  </si>
  <si>
    <r>
      <rPr>
        <i val="true"/>
        <sz val="9"/>
        <color rgb="FF595959"/>
        <rFont val="WenQuanYi Zen Hei"/>
        <family val="2"/>
      </rPr>
      <t xml:space="preserve">대부분의 플랫폼이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사전 고지 없이 변경 가능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을 명시합니다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기간을 못 박아 확약한 곳은 유니챗 하나뿐입니다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</si>
  <si>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성격</t>
  </si>
  <si>
    <t xml:space="preserve">원문 취지</t>
  </si>
  <si>
    <t xml:space="preserve">기간 확약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</si>
  <si>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초기 제작자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 조건은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')</t>
    </r>
  </si>
  <si>
    <t xml:space="preserve">변경 가능</t>
  </si>
  <si>
    <t xml:space="preserve">본 안내에 명시된 정책 및 혜택은 서비스 운영 상황에 따라 사전 고지 없이 변경될 수 있습니다</t>
  </si>
  <si>
    <t xml:space="preserve">본 정책은 서비스 운영 상황에 따라 사전 고지 없이 변경되거나 종료될 수 있습니다</t>
  </si>
  <si>
    <r>
      <rPr>
        <sz val="10"/>
        <rFont val="WenQuanYi Zen Hei"/>
        <family val="2"/>
      </rPr>
      <t xml:space="preserve">회사는 운영 사정에 따라 수익 분배 프로그램을 변경하거나 중단할 수 있습니다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발생 수익에는 영향 없음</t>
    </r>
    <r>
      <rPr>
        <sz val="10"/>
        <rFont val="맑은 고딕"/>
        <family val="0"/>
        <charset val="1"/>
      </rPr>
      <t xml:space="preserve">)</t>
    </r>
  </si>
  <si>
    <t xml:space="preserve">유료 채팅 당 지급 크레딧은 모델 제공사의 가격 정책이나 환율 변동 등 외부 요인에 따라 조정될 수 있습니다</t>
  </si>
  <si>
    <r>
      <rPr>
        <sz val="10"/>
        <rFont val="WenQuanYi Zen Hei"/>
        <family val="2"/>
      </rPr>
      <t xml:space="preserve">언어 모델은 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변경 또는 삭제가 이루어질 수 있습니다</t>
    </r>
  </si>
  <si>
    <t xml:space="preserve">이용자 수 증가에 따라 추후 승급 조건 또는 등급 종류 변동 가능</t>
  </si>
  <si>
    <r>
      <rPr>
        <sz val="10"/>
        <rFont val="WenQuanYi Zen Hei"/>
        <family val="2"/>
      </rPr>
      <t xml:space="preserve">변경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고지 有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</si>
  <si>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상기 명시된 조건은 변경되거나 삭제될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변경 시 공식 크리에이터에게 별도 안내</t>
    </r>
  </si>
  <si>
    <t xml:space="preserve">확정 전</t>
  </si>
  <si>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진행될 예정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현재 예정된 정산율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시행 전 또는 확정 전 단계</t>
    </r>
  </si>
  <si>
    <t xml:space="preserve">한시 이벤트</t>
  </si>
  <si>
    <r>
      <rPr>
        <sz val="10"/>
        <rFont val="WenQuanYi Zen Hei"/>
        <family val="2"/>
      </rPr>
      <t xml:space="preserve">일반 크리에이터 대상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 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</si>
  <si>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환수 조항 — 이미 적립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지급된 정산을 회수하는가</t>
    </r>
  </si>
  <si>
    <r>
      <rPr>
        <i val="true"/>
        <sz val="9"/>
        <color rgb="FF595959"/>
        <rFont val="WenQuanYi Zen Hei"/>
        <family val="2"/>
      </rPr>
      <t xml:space="preserve">범위가 넓을수록 크리에이터의 심리적 진입장벽이 커집니다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절제 수준이 플랫폼마다 크게 다릅니다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</si>
  <si>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범위</t>
  </si>
  <si>
    <t xml:space="preserve">내용</t>
  </si>
  <si>
    <t xml:space="preserve">광범위</t>
  </si>
  <si>
    <r>
      <rPr>
        <sz val="10"/>
        <rFont val="WenQuanYi Zen Hei"/>
        <family val="2"/>
      </rPr>
      <t xml:space="preserve">공식 크리에이터 제한 사항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전액 회수</t>
    </r>
  </si>
  <si>
    <r>
      <rPr>
        <sz val="10"/>
        <rFont val="WenQuanYi Zen Hei"/>
        <family val="2"/>
      </rPr>
      <t xml:space="preserve">제작 규정 위반으로 블락 처리된 애셋은 블락 처리 전 발생한 수익까지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별도로 유저가 유료 재화를 환불하면 분배됐던 정산 수익이 감소</t>
    </r>
  </si>
  <si>
    <t xml:space="preserve">한정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</si>
  <si>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침해 콘텐츠와 직접 연관된 수익만 대상이며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</si>
  <si>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t xml:space="preserve">최소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</si>
  <si>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 — 기본 인센티브는 회수하지 않음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</si>
  <si>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 중단만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</si>
  <si>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정책 반복 위반 등은 정산 제한 사유이나 소급 회수 조항은 명시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</si>
  <si>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 해지해도 잔고 유지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재계약 시 전액 다시 정산 가능</t>
    </r>
  </si>
  <si>
    <t xml:space="preserve">그 외</t>
  </si>
  <si>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</t>
    </r>
  </si>
  <si>
    <t xml:space="preserve">현금화 게이트 — 크리에이터가 실제로 돈을 받을 수 있는가</t>
  </si>
  <si>
    <r>
      <rPr>
        <i val="true"/>
        <sz val="9"/>
        <color rgb="FF595959"/>
        <rFont val="WenQuanYi Zen Hei"/>
        <family val="2"/>
      </rPr>
      <t xml:space="preserve">정산율만큼이나 중요한 축</t>
    </r>
    <r>
      <rPr>
        <i val="true"/>
        <sz val="9"/>
        <color rgb="FF595959"/>
        <rFont val="맑은 고딕"/>
        <family val="0"/>
        <charset val="1"/>
      </rPr>
      <t xml:space="preserve">. 12</t>
    </r>
    <r>
      <rPr>
        <i val="true"/>
        <sz val="9"/>
        <color rgb="FF595959"/>
        <rFont val="WenQuanYi Zen Hei"/>
        <family val="2"/>
      </rPr>
      <t xml:space="preserve">곳 중 </t>
    </r>
    <r>
      <rPr>
        <i val="true"/>
        <sz val="9"/>
        <color rgb="FF595959"/>
        <rFont val="맑은 고딕"/>
        <family val="0"/>
        <charset val="1"/>
      </rPr>
      <t xml:space="preserve">4</t>
    </r>
    <r>
      <rPr>
        <i val="true"/>
        <sz val="9"/>
        <color rgb="FF595959"/>
        <rFont val="WenQuanYi Zen Hei"/>
        <family val="2"/>
      </rPr>
      <t xml:space="preserve">곳이 현금화를 등급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인증 뒤에 두거나 아예 막아두었습니다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</si>
  <si>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조건</t>
  </si>
  <si>
    <r>
      <rPr>
        <sz val="10"/>
        <rFont val="WenQuanYi Zen Hei"/>
        <family val="2"/>
      </rPr>
      <t xml:space="preserve">베리는 현금 경로 자체가 없음 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</t>
    </r>
  </si>
  <si>
    <r>
      <rPr>
        <sz val="10"/>
        <rFont val="WenQuanYi Zen Hei"/>
        <family val="2"/>
      </rPr>
      <t xml:space="preserve">기프티콘 교환만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</t>
    </r>
  </si>
  <si>
    <t xml:space="preserve">등급 게이트</t>
  </si>
  <si>
    <r>
      <rPr>
        <sz val="10"/>
        <rFont val="WenQuanYi Zen Hei"/>
        <family val="2"/>
      </rPr>
      <t xml:space="preserve">루키는 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이상만 현금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루키 시절 적립분은 승급 후에도 현금화 불가</t>
    </r>
  </si>
  <si>
    <t xml:space="preserve">인증 게이트</t>
  </si>
  <si>
    <r>
      <rPr>
        <sz val="10"/>
        <rFont val="WenQuanYi Zen Hei"/>
        <family val="2"/>
      </rPr>
      <t xml:space="preserve">일반 유저는 포인트 적립만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후에만 현금 인출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</si>
  <si>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</si>
  <si>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</si>
  <si>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 지급</t>
    </r>
  </si>
  <si>
    <t xml:space="preserve">부분 가능</t>
  </si>
  <si>
    <r>
      <rPr>
        <sz val="10"/>
        <rFont val="WenQuanYi Zen Hei"/>
        <family val="2"/>
      </rPr>
      <t xml:space="preserve">젠잇 튜닝 모델 정산분만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 정산분은 젤리로 지급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</si>
  <si>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</si>
  <si>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조건 미확인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</si>
  <si>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</si>
  <si>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루나톡 포인트의 현금화 여부 불명</t>
    </r>
  </si>
  <si>
    <t xml:space="preserve">이벤트 정산의 지급 형태 불명</t>
  </si>
  <si>
    <t xml:space="preserve">둠칫 — 쿠키 충전 가격 구조</t>
  </si>
  <si>
    <r>
      <rPr>
        <i val="true"/>
        <sz val="9"/>
        <color rgb="FF595959"/>
        <rFont val="WenQuanYi Zen Hei"/>
        <family val="2"/>
      </rPr>
      <t xml:space="preserve">정가는 보너스 포함 총 쿠키 </t>
    </r>
    <r>
      <rPr>
        <i val="true"/>
        <sz val="9"/>
        <color rgb="FF595959"/>
        <rFont val="맑은 고딕"/>
        <family val="0"/>
        <charset val="1"/>
      </rPr>
      <t xml:space="preserve">× 12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실지불은 유료 쿠키 기준 전 구간 </t>
    </r>
    <r>
      <rPr>
        <i val="true"/>
        <sz val="9"/>
        <color rgb="FF595959"/>
        <rFont val="맑은 고딕"/>
        <family val="0"/>
        <charset val="1"/>
      </rPr>
      <t xml:space="preserve">11.04</t>
    </r>
    <r>
      <rPr>
        <i val="true"/>
        <sz val="9"/>
        <color rgb="FF595959"/>
        <rFont val="WenQuanYi Zen Hei"/>
        <family val="2"/>
      </rPr>
      <t xml:space="preserve">원으로 완전히 동일하며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할인율 차이는 전부 보너스 쿠키로 구현됩니다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</si>
  <si>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팩</t>
  </si>
  <si>
    <t xml:space="preserve">유료 쿠키</t>
  </si>
  <si>
    <t xml:space="preserve">보너스</t>
  </si>
  <si>
    <t xml:space="preserve">총 쿠키</t>
  </si>
  <si>
    <t xml:space="preserve">정가</t>
  </si>
  <si>
    <t xml:space="preserve">할인가</t>
  </si>
  <si>
    <t xml:space="preserve">유료쿠키당</t>
  </si>
  <si>
    <t xml:space="preserve">총쿠키당</t>
  </si>
  <si>
    <r>
      <rPr>
        <b val="true"/>
        <sz val="10"/>
        <rFont val="맑은 고딕"/>
        <family val="0"/>
        <charset val="1"/>
      </rPr>
      <t xml:space="preserve">250</t>
    </r>
    <r>
      <rPr>
        <b val="true"/>
        <sz val="1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</si>
  <si>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+50</t>
    </r>
  </si>
  <si>
    <r>
      <rPr>
        <b val="true"/>
        <sz val="10"/>
        <rFont val="맑은 고딕"/>
        <family val="0"/>
        <charset val="1"/>
      </rPr>
      <t xml:space="preserve">1,000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+100</t>
    </r>
  </si>
  <si>
    <r>
      <rPr>
        <b val="true"/>
        <sz val="10"/>
        <rFont val="맑은 고딕"/>
        <family val="0"/>
        <charset val="1"/>
      </rPr>
      <t xml:space="preserve">2,500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+300</t>
    </r>
  </si>
  <si>
    <r>
      <rPr>
        <b val="true"/>
        <sz val="10"/>
        <rFont val="맑은 고딕"/>
        <family val="0"/>
        <charset val="1"/>
      </rPr>
      <t xml:space="preserve">5,000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+700</t>
    </r>
  </si>
  <si>
    <r>
      <rPr>
        <b val="true"/>
        <sz val="10"/>
        <rFont val="맑은 고딕"/>
        <family val="0"/>
        <charset val="1"/>
      </rPr>
      <t xml:space="preserve">10,000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+1,500</t>
    </r>
  </si>
  <si>
    <r>
      <rPr>
        <b val="true"/>
        <sz val="10"/>
        <rFont val="WenQuanYi Zen Hei"/>
        <family val="2"/>
      </rPr>
      <t xml:space="preserve">둠칫 실질 회수율 — 가설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확인 필요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</si>
  <si>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출금 환산 </t>
    </r>
    <r>
      <rPr>
        <sz val="10"/>
        <rFont val="맑은 고딕"/>
        <family val="0"/>
        <charset val="1"/>
      </rPr>
      <t xml:space="preserve">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/P = 200.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'1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200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라면 문서의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가치의 포인트로 환산하여 지급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정합적입니다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</si>
  <si>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반증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만약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1P</t>
    </r>
    <r>
      <rPr>
        <sz val="10"/>
        <rFont val="WenQuanYi Zen Hei"/>
        <family val="2"/>
      </rPr>
      <t xml:space="preserve">라면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의 실질이 약 </t>
    </r>
    <r>
      <rPr>
        <sz val="10"/>
        <rFont val="맑은 고딕"/>
        <family val="0"/>
        <charset val="1"/>
      </rPr>
      <t xml:space="preserve">0.09%</t>
    </r>
    <r>
      <rPr>
        <sz val="10"/>
        <rFont val="WenQuanYi Zen Hei"/>
        <family val="2"/>
      </rPr>
      <t xml:space="preserve">가 되어 비현실적 — </t>
    </r>
    <r>
      <rPr>
        <sz val="10"/>
        <rFont val="맑은 고딕"/>
        <family val="0"/>
        <charset val="1"/>
      </rPr>
      <t xml:space="preserve">1:1</t>
    </r>
    <r>
      <rPr>
        <sz val="10"/>
        <rFont val="WenQuanYi Zen Hei"/>
        <family val="2"/>
      </rPr>
      <t xml:space="preserve">은 아닐 가능성이 매우 높습니다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</si>
  <si>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확인 방법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비율을 보면 즉시 확정됩니다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</si>
  <si>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티어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가산 조합</t>
    </r>
  </si>
  <si>
    <t xml:space="preserve">표기 비율</t>
  </si>
  <si>
    <t xml:space="preserve">유료쿠키 기준 실질</t>
  </si>
  <si>
    <t xml:space="preserve">보너스 포함 기준 실질</t>
  </si>
  <si>
    <r>
      <rPr>
        <b val="true"/>
        <sz val="10"/>
        <rFont val="WenQuanYi Zen Hei"/>
        <family val="2"/>
      </rPr>
      <t xml:space="preserve">실버 </t>
    </r>
    <r>
      <rPr>
        <b val="true"/>
        <sz val="10"/>
        <rFont val="맑은 고딕"/>
        <family val="0"/>
        <charset val="1"/>
      </rPr>
      <t xml:space="preserve">3</t>
    </r>
  </si>
  <si>
    <t xml:space="preserve">핑크 다이아몬드</t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</si>
  <si>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독점공개</t>
    </r>
    <r>
      <rPr>
        <b val="true"/>
        <sz val="10"/>
        <rFont val="맑은 고딕"/>
        <family val="0"/>
        <charset val="1"/>
      </rPr>
      <t xml:space="preserve">(+3%)</t>
    </r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</si>
  <si>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오리지널</t>
    </r>
    <r>
      <rPr>
        <b val="true"/>
        <sz val="10"/>
        <rFont val="맑은 고딕"/>
        <family val="0"/>
        <charset val="1"/>
      </rPr>
      <t xml:space="preserve">(+5%)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</si>
  <si>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비율보다 실질이 높아지는 이유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유저는 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보너스로 정가보다 싸게 쿠키를 사지만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정산은 정가</t>
    </r>
    <r>
      <rPr>
        <sz val="10"/>
        <rFont val="맑은 고딕"/>
        <family val="0"/>
        <charset val="1"/>
      </rPr>
      <t xml:space="preserve">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기준으로 환산되기 때문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큰 팩을 살수록 격차가 벌어짐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</si>
  <si>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정산 대상이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구매 시 지급되는 보너스 쿠키가 여기 해당하는지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해당하면 유료쿠키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아니면 보너스 포함 기준이 모수</t>
    </r>
  </si>
  <si>
    <t xml:space="preserve">티팟 — 수령 수단에 따른 실질 회수율</t>
  </si>
  <si>
    <r>
      <rPr>
        <i val="true"/>
        <sz val="9"/>
        <color rgb="FF595959"/>
        <rFont val="WenQuanYi Zen Hei"/>
        <family val="2"/>
      </rPr>
      <t xml:space="preserve">유료 리프는 전 구간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리프 </t>
    </r>
    <r>
      <rPr>
        <i val="true"/>
        <sz val="9"/>
        <color rgb="FF595959"/>
        <rFont val="맑은 고딕"/>
        <family val="0"/>
        <charset val="1"/>
      </rPr>
      <t xml:space="preserve">= 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할인은 전부 보너스 리프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인센티브를 리프로 바꾸면 </t>
    </r>
    <r>
      <rPr>
        <i val="true"/>
        <sz val="9"/>
        <color rgb="FF595959"/>
        <rFont val="맑은 고딕"/>
        <family val="0"/>
        <charset val="1"/>
      </rPr>
      <t xml:space="preserve">1:1 </t>
    </r>
    <r>
      <rPr>
        <i val="true"/>
        <sz val="9"/>
        <color rgb="FF595959"/>
        <rFont val="WenQuanYi Zen Hei"/>
        <family val="2"/>
      </rPr>
      <t xml:space="preserve">무손실이고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현금으로 받을 때만 세금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수수료가 공제됩니다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</si>
  <si>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문서 예시</t>
    </r>
    <r>
      <rPr>
        <i val="true"/>
        <sz val="9"/>
        <color rgb="FF595959"/>
        <rFont val="맑은 고딕"/>
        <family val="0"/>
        <charset val="1"/>
      </rPr>
      <t xml:space="preserve">: 10,000</t>
    </r>
    <r>
      <rPr>
        <i val="true"/>
        <sz val="9"/>
        <color rgb="FF595959"/>
        <rFont val="WenQuanYi Zen Hei"/>
        <family val="2"/>
      </rPr>
      <t xml:space="preserve">원 신청 → </t>
    </r>
    <r>
      <rPr>
        <i val="true"/>
        <sz val="9"/>
        <color rgb="FF595959"/>
        <rFont val="맑은 고딕"/>
        <family val="0"/>
        <charset val="1"/>
      </rPr>
      <t xml:space="preserve">11,692 </t>
    </r>
    <r>
      <rPr>
        <i val="true"/>
        <sz val="9"/>
        <color rgb="FF595959"/>
        <rFont val="WenQuanYi Zen Hei"/>
        <family val="2"/>
      </rPr>
      <t xml:space="preserve">인센티브 차감 → 정확히 </t>
    </r>
    <r>
      <rPr>
        <i val="true"/>
        <sz val="9"/>
        <color rgb="FF595959"/>
        <rFont val="맑은 고딕"/>
        <family val="0"/>
        <charset val="1"/>
      </rPr>
      <t xml:space="preserve">10,000</t>
    </r>
    <r>
      <rPr>
        <i val="true"/>
        <sz val="9"/>
        <color rgb="FF595959"/>
        <rFont val="WenQuanYi Zen Hei"/>
        <family val="2"/>
      </rPr>
      <t xml:space="preserve">원 입금</t>
    </r>
  </si>
  <si>
    <t xml:space="preserve">리프로 수령</t>
  </si>
  <si>
    <t xml:space="preserve">현금으로 수령</t>
  </si>
  <si>
    <r>
      <rPr>
        <b val="true"/>
        <sz val="10"/>
        <rFont val="WenQuanYi Zen Hei"/>
        <family val="2"/>
      </rPr>
      <t xml:space="preserve">미계약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자유 크리에이터</t>
    </r>
  </si>
  <si>
    <r>
      <rPr>
        <b val="true"/>
        <sz val="10"/>
        <rFont val="WenQuanYi Zen Hei"/>
        <family val="2"/>
      </rPr>
      <t xml:space="preserve">독점 크리에이터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캐릭터별 독점 전환</t>
    </r>
  </si>
  <si>
    <t xml:space="preserve">팬 후원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</si>
  <si>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 프리미엄이 단일 숫자로 명확한 유일한 사례</t>
    </r>
    <r>
      <rPr>
        <sz val="10"/>
        <rFont val="맑은 고딕"/>
        <family val="0"/>
        <charset val="1"/>
      </rPr>
      <t xml:space="preserve">: 8% → 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</si>
  <si>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감액을 숨기지 않은 두 번째 사례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플레이툰에 이어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</si>
  <si>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구매 시 지급되는 보너스 리프</t>
    </r>
    <r>
      <rPr>
        <sz val="10"/>
        <rFont val="맑은 고딕"/>
        <family val="0"/>
        <charset val="1"/>
      </rPr>
      <t xml:space="preserve">(30,000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+10,000)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 불명</t>
    </r>
  </si>
  <si>
    <t xml:space="preserve">유저 결제액 대비 크리에이터 몫 — 모수와 단가가 모두 확정된 플랫폼만</t>
  </si>
  <si>
    <r>
      <rPr>
        <i val="true"/>
        <sz val="9"/>
        <color rgb="FF595959"/>
        <rFont val="WenQuanYi Zen Hei"/>
        <family val="2"/>
      </rPr>
      <t xml:space="preserve">재화 단가가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원으로 확인되어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유저가 낸 돈의 몇 </t>
    </r>
    <r>
      <rPr>
        <i val="true"/>
        <sz val="9"/>
        <color rgb="FF595959"/>
        <rFont val="맑은 고딕"/>
        <family val="0"/>
        <charset val="1"/>
      </rPr>
      <t xml:space="preserve">%'</t>
    </r>
    <r>
      <rPr>
        <i val="true"/>
        <sz val="9"/>
        <color rgb="FF595959"/>
        <rFont val="WenQuanYi Zen Hei"/>
        <family val="2"/>
      </rPr>
      <t xml:space="preserve">가 그대로 성립하는 곳들입니다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서로 직접 비교할 수 있는 유일한 집합입니다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</si>
  <si>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재화 단가</t>
  </si>
  <si>
    <r>
      <rPr>
        <b val="true"/>
        <sz val="10"/>
        <color rgb="FFFFFFFF"/>
        <rFont val="WenQuanYi Zen Hei"/>
        <family val="2"/>
      </rPr>
      <t xml:space="preserve">전속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독점</t>
    </r>
  </si>
  <si>
    <t xml:space="preserve">비고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</si>
  <si>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</si>
  <si>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10% 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</si>
  <si>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 구분 없는 단일 요율</t>
    </r>
    <r>
      <rPr>
        <sz val="10"/>
        <rFont val="맑은 고딕"/>
        <family val="0"/>
        <charset val="1"/>
      </rPr>
      <t xml:space="preserve">. 2026.07.01~2028.06.30 2</t>
    </r>
    <r>
      <rPr>
        <sz val="10"/>
        <rFont val="WenQuanYi Zen Hei"/>
        <family val="2"/>
      </rPr>
      <t xml:space="preserve">년 확약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초기 제작자 한정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</si>
  <si>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</si>
  <si>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8%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6.84%)</t>
    </r>
  </si>
  <si>
    <r>
      <rPr>
        <sz val="10"/>
        <rFont val="맑은 고딕"/>
        <family val="0"/>
        <charset val="1"/>
      </rPr>
      <t xml:space="preserve">12%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10.26%)</t>
    </r>
  </si>
  <si>
    <r>
      <rPr>
        <sz val="10"/>
        <rFont val="WenQuanYi Zen Hei"/>
        <family val="2"/>
      </rPr>
      <t xml:space="preserve">리프 교환은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현금만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</si>
  <si>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</si>
  <si>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3~15% (</t>
    </r>
    <r>
      <rPr>
        <sz val="10"/>
        <rFont val="WenQuanYi Zen Hei"/>
        <family val="2"/>
      </rPr>
      <t xml:space="preserve">티어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</si>
  <si>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/ +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/ +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</t>
    </r>
  </si>
  <si>
    <t xml:space="preserve">포인트→쿠키 전환 비율 미확인이라 실질은 가설 단계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</si>
  <si>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</si>
  <si>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</si>
  <si>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</t>
    </r>
    <r>
      <rPr>
        <sz val="10"/>
        <rFont val="맑은 고딕"/>
        <family val="0"/>
        <charset val="1"/>
      </rPr>
      <t xml:space="preserve">20~50%</t>
    </r>
  </si>
  <si>
    <r>
      <rPr>
        <sz val="10"/>
        <rFont val="WenQuanYi Zen Hei"/>
        <family val="2"/>
      </rPr>
      <t xml:space="preserve">튜닝 모델만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젤리로 지급</t>
    </r>
  </si>
  <si>
    <r>
      <rPr>
        <sz val="10"/>
        <rFont val="맑은 고딕"/>
        <family val="0"/>
        <charset val="1"/>
      </rPr>
      <t xml:space="preserve">5%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</si>
  <si>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8~12%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</si>
  <si>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t xml:space="preserve">캐롯 원화 단가 미확인 — 확정 시 이 표에 편입 가능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</si>
  <si>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일반 크리에이터 기준 최고는 유니챗 </t>
    </r>
    <r>
      <rPr>
        <sz val="10"/>
        <rFont val="맑은 고딕"/>
        <family val="0"/>
        <charset val="1"/>
      </rPr>
      <t xml:space="preserve">10%, </t>
    </r>
    <r>
      <rPr>
        <sz val="10"/>
        <rFont val="WenQuanYi Zen Hei"/>
        <family val="2"/>
      </rPr>
      <t xml:space="preserve">그다음 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</si>
  <si>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기준 최고는 젠잇 집중 퍼블리싱 </t>
    </r>
    <r>
      <rPr>
        <sz val="10"/>
        <rFont val="맑은 고딕"/>
        <family val="0"/>
        <charset val="1"/>
      </rPr>
      <t xml:space="preserve">20~50%, </t>
    </r>
    <r>
      <rPr>
        <sz val="10"/>
        <rFont val="WenQuanYi Zen Hei"/>
        <family val="2"/>
      </rPr>
      <t xml:space="preserve">그다음 둠칫 최대 </t>
    </r>
    <r>
      <rPr>
        <sz val="10"/>
        <rFont val="맑은 고딕"/>
        <family val="0"/>
        <charset val="1"/>
      </rPr>
      <t xml:space="preserve">22%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12%</t>
    </r>
  </si>
  <si>
    <r>
      <rPr>
        <b val="true"/>
        <sz val="14"/>
        <rFont val="WenQuanYi Zen Hei"/>
        <family val="2"/>
      </rPr>
      <t xml:space="preserve">등급제 상세 — 베이비챗 크리에이터 클럽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루나톡 공식 크리에이터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</si>
  <si>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베이비챗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크리에이터 클럽 — 비전속 등급제</t>
    </r>
  </si>
  <si>
    <r>
      <rPr>
        <i val="true"/>
        <sz val="9"/>
        <color rgb="FF595959"/>
        <rFont val="맑은 고딕"/>
        <family val="0"/>
        <charset val="1"/>
      </rPr>
      <t xml:space="preserve">2025-10-03 </t>
    </r>
    <r>
      <rPr>
        <i val="true"/>
        <sz val="9"/>
        <color rgb="FF595959"/>
        <rFont val="WenQuanYi Zen Hei"/>
        <family val="2"/>
      </rPr>
      <t xml:space="preserve">시작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이전 활동 데이터 소급 반영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단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베이비부터 순서대로 </t>
    </r>
    <r>
      <rPr>
        <i val="true"/>
        <sz val="9"/>
        <color rgb="FF595959"/>
        <rFont val="맑은 고딕"/>
        <family val="0"/>
        <charset val="1"/>
      </rPr>
      <t xml:space="preserve">[</t>
    </r>
    <r>
      <rPr>
        <i val="true"/>
        <sz val="9"/>
        <color rgb="FF595959"/>
        <rFont val="WenQuanYi Zen Hei"/>
        <family val="2"/>
      </rPr>
      <t xml:space="preserve">획득하기</t>
    </r>
    <r>
      <rPr>
        <i val="true"/>
        <sz val="9"/>
        <color rgb="FF595959"/>
        <rFont val="맑은 고딕"/>
        <family val="0"/>
        <charset val="1"/>
      </rPr>
      <t xml:space="preserve">] </t>
    </r>
    <r>
      <rPr>
        <i val="true"/>
        <sz val="9"/>
        <color rgb="FF595959"/>
        <rFont val="WenQuanYi Zen Hei"/>
        <family val="2"/>
      </rPr>
      <t xml:space="preserve">버튼을 직접 눌러야 혜택 적용</t>
    </r>
  </si>
  <si>
    <t xml:space="preserve">베리 → 프로챗 전환 비율</t>
  </si>
  <si>
    <r>
      <rPr>
        <i val="true"/>
        <sz val="9"/>
        <color rgb="FF595959"/>
        <rFont val="맑은 고딕"/>
        <family val="0"/>
        <charset val="1"/>
      </rPr>
      <t xml:space="preserve">: 1  (10 </t>
    </r>
    <r>
      <rPr>
        <i val="true"/>
        <sz val="9"/>
        <color rgb="FF595959"/>
        <rFont val="WenQuanYi Zen Hei"/>
        <family val="2"/>
      </rPr>
      <t xml:space="preserve">베리 </t>
    </r>
    <r>
      <rPr>
        <i val="true"/>
        <sz val="9"/>
        <color rgb="FF595959"/>
        <rFont val="맑은 고딕"/>
        <family val="0"/>
        <charset val="1"/>
      </rPr>
      <t xml:space="preserve">= 1 </t>
    </r>
    <r>
      <rPr>
        <i val="true"/>
        <sz val="9"/>
        <color rgb="FF595959"/>
        <rFont val="WenQuanYi Zen Hei"/>
        <family val="2"/>
      </rPr>
      <t xml:space="preserve">프로챗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</si>
  <si>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베이비</t>
  </si>
  <si>
    <t xml:space="preserve">루키</t>
  </si>
  <si>
    <t xml:space="preserve">슈퍼</t>
  </si>
  <si>
    <t xml:space="preserve">메가</t>
  </si>
  <si>
    <t xml:space="preserve">하이퍼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</si>
  <si>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전체공개 캐릭터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</si>
  <si>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채팅수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</si>
  <si>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 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</si>
  <si>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응원하기 비율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</si>
  <si>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일반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</si>
  <si>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</t>
    </r>
    <r>
      <rPr>
        <sz val="10"/>
        <rFont val="맑은 고딕"/>
        <family val="0"/>
        <charset val="1"/>
      </rPr>
      <t xml:space="preserve">B Only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</si>
  <si>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일반 — 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</si>
  <si>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— </t>
    </r>
    <r>
      <rPr>
        <sz val="10"/>
        <rFont val="WenQuanYi Zen Hei"/>
        <family val="2"/>
      </rPr>
      <t xml:space="preserve">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</si>
  <si>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+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(+3%p)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</si>
  <si>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선물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타이틀 달성 프로챗 </t>
    </r>
    <r>
      <rPr>
        <sz val="10"/>
        <rFont val="맑은 고딕"/>
        <family val="0"/>
        <charset val="1"/>
      </rPr>
      <t xml:space="preserve">(2026 </t>
    </r>
    <r>
      <rPr>
        <sz val="10"/>
        <rFont val="WenQuanYi Zen Hei"/>
        <family val="2"/>
      </rPr>
      <t xml:space="preserve">한정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</si>
  <si>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핵심</t>
    </r>
    <r>
      <rPr>
        <b val="true"/>
        <sz val="10"/>
        <rFont val="맑은 고딕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표기 적립률과 실질 구매력이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배 다릅니다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적립률은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베리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단위인데 베리→프로챗 전환이 </t>
    </r>
    <r>
      <rPr>
        <b val="true"/>
        <sz val="10"/>
        <rFont val="맑은 고딕"/>
        <family val="0"/>
        <charset val="1"/>
      </rPr>
      <t xml:space="preserve">10:1 — </t>
    </r>
    <r>
      <rPr>
        <b val="true"/>
        <sz val="10"/>
        <rFont val="WenQuanYi Zen Hei"/>
        <family val="2"/>
      </rPr>
      <t xml:space="preserve">제도상 최대치가 </t>
    </r>
    <r>
      <rPr>
        <b val="true"/>
        <sz val="10"/>
        <rFont val="맑은 고딕"/>
        <family val="0"/>
        <charset val="1"/>
      </rPr>
      <t xml:space="preserve">2.3%</t>
    </r>
    <r>
      <rPr>
        <b val="true"/>
        <sz val="10"/>
        <rFont val="WenQuanYi Zen Hei"/>
        <family val="2"/>
      </rPr>
      <t xml:space="preserve">입니다</t>
    </r>
    <r>
      <rPr>
        <b val="true"/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</si>
  <si>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루나톡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크리에이터 지원 제도 — 전속 등급제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단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</si>
  <si>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기수제 공개 모집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기</t>
    </r>
    <r>
      <rPr>
        <i val="true"/>
        <sz val="9"/>
        <color rgb="FF595959"/>
        <rFont val="맑은 고딕"/>
        <family val="0"/>
        <charset val="1"/>
      </rPr>
      <t xml:space="preserve">) · </t>
    </r>
    <r>
      <rPr>
        <i val="true"/>
        <sz val="9"/>
        <color rgb="FF595959"/>
        <rFont val="WenQuanYi Zen Hei"/>
        <family val="2"/>
      </rPr>
      <t xml:space="preserve">전 등급 공통 신청 조건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루나톡에서 활동중이거나 활동 예정인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타 플랫폼 활동작가</t>
    </r>
    <r>
      <rPr>
        <i val="true"/>
        <sz val="9"/>
        <color rgb="FF595959"/>
        <rFont val="맑은 고딕"/>
        <family val="0"/>
        <charset val="1"/>
      </rPr>
      <t xml:space="preserve">' + </t>
    </r>
    <r>
      <rPr>
        <i val="true"/>
        <sz val="9"/>
        <color rgb="FF595959"/>
        <rFont val="WenQuanYi Zen Hei"/>
        <family val="2"/>
      </rPr>
      <t xml:space="preserve">루나톡 제작 작품 총 채팅수 </t>
    </r>
    <r>
      <rPr>
        <i val="true"/>
        <sz val="9"/>
        <color rgb="FF595959"/>
        <rFont val="맑은 고딕"/>
        <family val="0"/>
        <charset val="1"/>
      </rPr>
      <t xml:space="preserve">7K </t>
    </r>
    <r>
      <rPr>
        <i val="true"/>
        <sz val="9"/>
        <color rgb="FF595959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</si>
  <si>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메테오 </t>
    </r>
    <r>
      <rPr>
        <b val="true"/>
        <sz val="10"/>
        <color rgb="FFFFFFFF"/>
        <rFont val="맑은 고딕"/>
        <family val="0"/>
        <charset val="1"/>
      </rPr>
      <t xml:space="preserve">(Meteo)</t>
    </r>
  </si>
  <si>
    <r>
      <rPr>
        <b val="true"/>
        <sz val="10"/>
        <color rgb="FFFFFFFF"/>
        <rFont val="WenQuanYi Zen Hei"/>
        <family val="2"/>
      </rPr>
      <t xml:space="preserve">슈퍼노바 </t>
    </r>
    <r>
      <rPr>
        <b val="true"/>
        <sz val="10"/>
        <color rgb="FFFFFFFF"/>
        <rFont val="맑은 고딕"/>
        <family val="0"/>
        <charset val="1"/>
      </rPr>
      <t xml:space="preserve">(Super Nova)</t>
    </r>
  </si>
  <si>
    <r>
      <rPr>
        <b val="true"/>
        <sz val="10"/>
        <color rgb="FFFFFFFF"/>
        <rFont val="WenQuanYi Zen Hei"/>
        <family val="2"/>
      </rPr>
      <t xml:space="preserve">어스 </t>
    </r>
    <r>
      <rPr>
        <b val="true"/>
        <sz val="10"/>
        <color rgb="FFFFFFFF"/>
        <rFont val="맑은 고딕"/>
        <family val="0"/>
        <charset val="1"/>
      </rPr>
      <t xml:space="preserve">(Earth)</t>
    </r>
  </si>
  <si>
    <r>
      <rPr>
        <b val="true"/>
        <sz val="10"/>
        <color rgb="FFFFFFFF"/>
        <rFont val="WenQuanYi Zen Hei"/>
        <family val="2"/>
      </rPr>
      <t xml:space="preserve">크레이터 </t>
    </r>
    <r>
      <rPr>
        <b val="true"/>
        <sz val="10"/>
        <color rgb="FFFFFFFF"/>
        <rFont val="맑은 고딕"/>
        <family val="0"/>
        <charset val="1"/>
      </rPr>
      <t xml:space="preserve">(Crater)</t>
    </r>
  </si>
  <si>
    <r>
      <rPr>
        <b val="true"/>
        <sz val="10"/>
        <color rgb="FFFFFFFF"/>
        <rFont val="WenQuanYi Zen Hei"/>
        <family val="2"/>
      </rPr>
      <t xml:space="preserve">풀문 </t>
    </r>
    <r>
      <rPr>
        <b val="true"/>
        <sz val="10"/>
        <color rgb="FFFFFFFF"/>
        <rFont val="맑은 고딕"/>
        <family val="0"/>
        <charset val="1"/>
      </rPr>
      <t xml:space="preserve">(Full Moon)</t>
    </r>
  </si>
  <si>
    <t xml:space="preserve">모집 인원</t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</si>
  <si>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</si>
  <si>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</si>
  <si>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(6/4)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</si>
  <si>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(3/2)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</si>
  <si>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대화수 총합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</si>
  <si>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공개 캐릭터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</si>
  <si>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</si>
  <si>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 플랫폼 대화수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</si>
  <si>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</si>
  <si>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후원 포인트 크리에이터 몫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</si>
  <si>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초회 한정 달성 보상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</si>
  <si>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</si>
  <si>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100,000P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</si>
  <si>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200,000P</t>
    </r>
  </si>
  <si>
    <t xml:space="preserve">미표기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</si>
  <si>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엠블럼</t>
    </r>
  </si>
  <si>
    <t xml:space="preserve">O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</si>
  <si>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추천작 기재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배너 홍보</t>
    </r>
  </si>
  <si>
    <t xml:space="preserve">지원</t>
  </si>
  <si>
    <t xml:space="preserve">우선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</si>
  <si>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NovelAI OPUS / PIX</t>
    </r>
  </si>
  <si>
    <t xml:space="preserve">스탠다드</t>
  </si>
  <si>
    <t xml:space="preserve">프리미엄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</si>
  <si>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ITIMG </t>
    </r>
    <r>
      <rPr>
        <b val="true"/>
        <sz val="10"/>
        <rFont val="WenQuanYi Zen Hei"/>
        <family val="2"/>
      </rPr>
      <t xml:space="preserve">스토리지</t>
    </r>
  </si>
  <si>
    <t xml:space="preserve">10GB</t>
  </si>
  <si>
    <t xml:space="preserve">30GB</t>
  </si>
  <si>
    <t xml:space="preserve">100GB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</si>
  <si>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스테이블 디퓨전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</si>
  <si>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오리지널 </t>
    </r>
    <r>
      <rPr>
        <b val="true"/>
        <sz val="10"/>
        <rFont val="맑은 고딕"/>
        <family val="0"/>
        <charset val="1"/>
      </rPr>
      <t xml:space="preserve">BGM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</si>
  <si>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</si>
  <si>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</si>
  <si>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</si>
  <si>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</si>
  <si>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프롬프트 기술 지원</t>
    </r>
  </si>
  <si>
    <t xml:space="preserve">한정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</si>
  <si>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전담 프롬프트 매니저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</si>
  <si>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행사 초대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우대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</si>
  <si>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굿즈 제작</t>
    </r>
  </si>
  <si>
    <t xml:space="preserve">확정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</si>
  <si>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신규 기능 얼리액세스</t>
    </r>
  </si>
  <si>
    <t xml:space="preserve">추첨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</si>
  <si>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여행 지원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박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일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</si>
  <si>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체험</t>
    </r>
  </si>
  <si>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</si>
  <si>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b val="true"/>
        <sz val="10"/>
        <rFont val="맑은 고딕"/>
        <family val="0"/>
        <charset val="1"/>
      </rPr>
      <t xml:space="preserve">[1</t>
    </r>
    <r>
      <rPr>
        <b val="true"/>
        <sz val="10"/>
        <rFont val="WenQuanYi Zen Hei"/>
        <family val="2"/>
      </rPr>
      <t xml:space="preserve">기 특별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키보드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</si>
  <si>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</t>
    </r>
  </si>
  <si>
    <r>
      <rPr>
        <b val="true"/>
        <sz val="10"/>
        <rFont val="WenQuanYi Zen Hei"/>
        <family val="2"/>
      </rPr>
      <t xml:space="preserve">이주 크리에이터 트랙 — 타 플랫폼 실적을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할인 인정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하는 배수</t>
    </r>
  </si>
  <si>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메테오는 이주 트랙 없음</t>
    </r>
  </si>
  <si>
    <r>
      <rPr>
        <b val="true"/>
        <sz val="10"/>
        <rFont val="WenQuanYi Zen Hei"/>
        <family val="2"/>
      </rPr>
      <t xml:space="preserve">미확인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주의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</si>
  <si>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채팅 자체의 정산 구조가 자료에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확인된 정산 조항은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하나뿐 — 이 표만으로 루나톡 정산 수준을 판단하면 안 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</si>
  <si>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포인트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가치 미확인 </t>
    </r>
    <r>
      <rPr>
        <sz val="10"/>
        <rFont val="맑은 고딕"/>
        <family val="0"/>
        <charset val="1"/>
      </rPr>
      <t xml:space="preserve">· '10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6/4', '5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3/2' </t>
    </r>
    <r>
      <rPr>
        <sz val="10"/>
        <rFont val="WenQuanYi Zen Hei"/>
        <family val="2"/>
      </rPr>
      <t xml:space="preserve">표기의 의미 불명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</si>
  <si>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안내 이미지의 장식 서체 특성상 일부 글자가 변형 렌더링됨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</si>
  <si>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위프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타이틀 작가 — 활동 실적 기반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등급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</si>
  <si>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기준 정산율이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내부 규정에 따름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으로 비공개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등급 간 배수만 공개되어 있어 절대 수입은 산출할 수 없습니다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</si>
  <si>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루키 작가</t>
  </si>
  <si>
    <t xml:space="preserve">프라임 작가</t>
  </si>
  <si>
    <t xml:space="preserve">하이퍼 작가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</si>
  <si>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대화량</t>
    </r>
  </si>
  <si>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</si>
  <si>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300K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</si>
  <si>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1M </t>
    </r>
    <r>
      <rPr>
        <sz val="11"/>
        <color theme="1"/>
        <rFont val="WenQuanYi Zen Hei"/>
        <family val="2"/>
      </rPr>
      <t xml:space="preserve">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</si>
  <si>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공개 캐릭터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</si>
  <si>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</si>
  <si>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</si>
  <si>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그중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개 이상 각 </t>
    </r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달성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</si>
  <si>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</t>
    </r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</si>
  <si>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</si>
  <si>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</si>
  <si>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명 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</si>
  <si>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범위</t>
    </r>
  </si>
  <si>
    <r>
      <rPr>
        <sz val="11"/>
        <color theme="1"/>
        <rFont val="WenQuanYi Zen Hei"/>
        <family val="2"/>
      </rPr>
      <t xml:space="preserve">누적 대화량 </t>
    </r>
    <r>
      <rPr>
        <sz val="11"/>
        <color theme="1"/>
        <rFont val="Calibri"/>
        <family val="2"/>
        <charset val="1"/>
      </rPr>
      <t xml:space="preserve">10K </t>
    </r>
    <r>
      <rPr>
        <sz val="11"/>
        <color theme="1"/>
        <rFont val="WenQuanYi Zen Hei"/>
        <family val="2"/>
      </rPr>
      <t xml:space="preserve">이상인 공개 캐릭터만</t>
    </r>
  </si>
  <si>
    <t xml:space="preserve">모든 공개 캐릭터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</si>
  <si>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수익</t>
    </r>
  </si>
  <si>
    <r>
      <rPr>
        <sz val="11"/>
        <color theme="1"/>
        <rFont val="WenQuanYi Zen Hei"/>
        <family val="2"/>
      </rPr>
      <t xml:space="preserve">유료 채팅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WenQuanYi Zen Hei"/>
        <family val="2"/>
      </rPr>
      <t xml:space="preserve">잠금 이미지 열람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</si>
  <si>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요율</t>
    </r>
  </si>
  <si>
    <r>
      <rPr>
        <sz val="11"/>
        <color theme="1"/>
        <rFont val="WenQuanYi Zen Hei"/>
        <family val="2"/>
      </rPr>
      <t xml:space="preserve">기준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수치 비공개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</si>
  <si>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배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</si>
  <si>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WenQuanYi Zen Hei"/>
        <family val="2"/>
      </rPr>
      <t xml:space="preserve">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잠금 이미지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</si>
  <si>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현금 출금</t>
    </r>
  </si>
  <si>
    <t xml:space="preserve">불가 — 위프로만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</si>
  <si>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위프 수령 보너스</t>
    </r>
  </si>
  <si>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추가 지급</t>
    </r>
  </si>
  <si>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추가 지급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</si>
  <si>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지급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월간 위프</t>
    </r>
  </si>
  <si>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</si>
  <si>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</si>
  <si>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20,000</t>
    </r>
    <r>
      <rPr>
        <sz val="11"/>
        <color theme="1"/>
        <rFont val="WenQuanYi Zen Hei"/>
        <family val="2"/>
      </rPr>
      <t xml:space="preserve">위프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</si>
  <si>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기타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웰컴 키트</t>
    </r>
  </si>
  <si>
    <t xml:space="preserve">지급</t>
  </si>
  <si>
    <t xml:space="preserve">크리에이터에게 불리한 조항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</si>
  <si>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루키 시절 발생한 대화량은 프라임 승급 후에도 현금 정산 불가 — 위프로만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승급 시점 이후 발생분부터 새 등급 기준 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소급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</si>
  <si>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자격 해지는 아니며 복귀 후 새 캐릭터 공개 시 재개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</si>
  <si>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월간 지급 위프의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</si>
  <si>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서비스 가이드라인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브랜드 이미지 훼손 등으로 운영에 차질이 발생하면 운영진 판단에 따라 자격 조정 또는 해지</t>
    </r>
  </si>
  <si>
    <r>
      <rPr>
        <b val="true"/>
        <sz val="10"/>
        <rFont val="WenQuanYi Zen Hei"/>
        <family val="2"/>
      </rPr>
      <t xml:space="preserve">⚠ 두 문서의 수치가 충돌 — 하이퍼를 포함한 </t>
    </r>
    <r>
      <rPr>
        <b val="true"/>
        <sz val="10"/>
        <rFont val="맑은 고딕"/>
        <family val="0"/>
        <charset val="1"/>
      </rPr>
      <t xml:space="preserve">FAQ</t>
    </r>
    <r>
      <rPr>
        <b val="true"/>
        <sz val="10"/>
        <rFont val="WenQuanYi Zen Hei"/>
        <family val="2"/>
      </rPr>
      <t xml:space="preserve">를 최신으로 보고 채택했습니다</t>
    </r>
  </si>
  <si>
    <r>
      <rPr>
        <sz val="10"/>
        <rFont val="WenQuanYi Zen Hei"/>
        <family val="2"/>
      </rPr>
      <t xml:space="preserve">  타이틀 작가 안내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30K·</t>
    </r>
    <r>
      <rPr>
        <sz val="10"/>
        <rFont val="WenQuanYi Zen Hei"/>
        <family val="2"/>
      </rPr>
      <t xml:space="preserve">팔로워 조건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150K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매월 말일 일괄 지급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</si>
  <si>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맑은 고딕"/>
        <family val="0"/>
        <charset val="1"/>
      </rPr>
      <t xml:space="preserve">  FAQ(3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50K·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300K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1M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</si>
  <si>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둠칫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작가 티어 제도 — 상대평가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시즌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개월 단위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</si>
  <si>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승급 조건은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시즌 유료 턴 수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기준 상위 퍼센트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모집단은 해당 시즌 실버</t>
    </r>
    <r>
      <rPr>
        <i val="true"/>
        <sz val="9"/>
        <color rgb="FF595959"/>
        <rFont val="맑은 고딕"/>
        <family val="0"/>
        <charset val="1"/>
      </rPr>
      <t xml:space="preserve">3 </t>
    </r>
    <r>
      <rPr>
        <i val="true"/>
        <sz val="9"/>
        <color rgb="FF595959"/>
        <rFont val="WenQuanYi Zen Hei"/>
        <family val="2"/>
      </rPr>
      <t xml:space="preserve">등급 이상 유저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매일 </t>
    </r>
    <r>
      <rPr>
        <i val="true"/>
        <sz val="9"/>
        <color rgb="FF595959"/>
        <rFont val="맑은 고딕"/>
        <family val="0"/>
        <charset val="1"/>
      </rPr>
      <t xml:space="preserve">18</t>
    </r>
    <r>
      <rPr>
        <i val="true"/>
        <sz val="9"/>
        <color rgb="FF595959"/>
        <rFont val="WenQuanYi Zen Hei"/>
        <family val="2"/>
      </rPr>
      <t xml:space="preserve">시 자동 심사로 승급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강등됩니다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</si>
  <si>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</si>
  <si>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</si>
  <si>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</si>
  <si>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</si>
  <si>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</si>
  <si>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</si>
  <si>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</si>
  <si>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</si>
  <si>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</si>
  <si>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t xml:space="preserve">핑크 다이아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</si>
  <si>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유료 턴 수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</si>
  <si>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</si>
  <si>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96%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</si>
  <si>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89%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</si>
  <si>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77%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</si>
  <si>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</si>
  <si>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</si>
  <si>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23%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</si>
  <si>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</si>
  <si>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</si>
  <si>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2%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</si>
  <si>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인센티브 비율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</si>
  <si>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제작 지원금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</si>
  <si>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</si>
  <si>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</si>
  <si>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</si>
  <si>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</si>
  <si>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</si>
  <si>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</si>
  <si>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</si>
  <si>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</si>
  <si>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</si>
  <si>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일일 보상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</si>
  <si>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</si>
  <si>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</si>
  <si>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</si>
  <si>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</si>
  <si>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</si>
  <si>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프로필 칭호</t>
    </r>
  </si>
  <si>
    <t xml:space="preserve">가산 구조 — 티어 비율 위에 얹힘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</si>
  <si>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</si>
  <si>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제도상 최대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핑크 다이아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단 독점공개와 오리지널의 동시 적용 가능 여부는 문서상 불명</t>
    </r>
  </si>
  <si>
    <t xml:space="preserve">이 제도가 다른 곳과 다른 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</si>
  <si>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유일한 상대평가 티어 — 다른 곳은 전부 절대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채팅 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팔로워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여기는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라 남이 잘하면 내가 강등됨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</si>
  <si>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강등이 실제 작동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곳의 등급은 사실상 한 번 따면 유지되는 구조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</si>
  <si>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공식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분리 — 공식 크리에이터가 되어도 독점 의무가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</si>
  <si>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환수 범위가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 — 기본 인센티브는 회수하지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가장 절제된 환수 조항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</si>
  <si>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둠칫 오리지널은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저작권 양도가 전제되는 유일한 사례</t>
    </r>
  </si>
  <si>
    <r>
      <rPr>
        <b val="true"/>
        <sz val="14"/>
        <rFont val="WenQuanYi Zen Hei"/>
        <family val="2"/>
      </rPr>
      <t xml:space="preserve">출처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원문 충돌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미확인 항목</t>
    </r>
  </si>
  <si>
    <r>
      <rPr>
        <b val="true"/>
        <sz val="10"/>
        <rFont val="맑은 고딕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출처</t>
    </r>
  </si>
  <si>
    <t xml:space="preserve">문서</t>
  </si>
  <si>
    <t xml:space="preserve">위치</t>
  </si>
  <si>
    <t xml:space="preserve">확인일</t>
  </si>
  <si>
    <r>
      <rPr>
        <sz val="10"/>
        <rFont val="WenQuanYi Zen Hei"/>
        <family val="2"/>
      </rPr>
      <t xml:space="preserve">🦆 오리지널 캐릭터란</t>
    </r>
    <r>
      <rPr>
        <sz val="10"/>
        <rFont val="맑은 고딕"/>
        <family val="0"/>
        <charset val="1"/>
      </rPr>
      <t xml:space="preserve">? / 💵 </t>
    </r>
    <r>
      <rPr>
        <sz val="10"/>
        <rFont val="WenQuanYi Zen Hei"/>
        <family val="2"/>
      </rPr>
      <t xml:space="preserve">케이브덕 인센티브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안내</t>
    </r>
  </si>
  <si>
    <r>
      <rPr>
        <sz val="10"/>
        <rFont val="맑은 고딕"/>
        <family val="0"/>
        <charset val="1"/>
      </rPr>
      <t xml:space="preserve">docs.caveduck.io/ko (</t>
    </r>
    <r>
      <rPr>
        <sz val="10"/>
        <rFont val="WenQuanYi Zen Hei"/>
        <family val="2"/>
      </rPr>
      <t xml:space="preserve">공식 크리에이터 안내는 별도 공지</t>
    </r>
    <r>
      <rPr>
        <sz val="10"/>
        <rFont val="맑은 고딕"/>
        <family val="0"/>
        <charset val="1"/>
      </rPr>
      <t xml:space="preserve">)</t>
    </r>
  </si>
  <si>
    <t xml:space="preserve">2026-08-19</t>
  </si>
  <si>
    <r>
      <rPr>
        <sz val="10"/>
        <rFont val="맑은 고딕"/>
        <family val="0"/>
        <charset val="1"/>
      </rPr>
      <t xml:space="preserve">B Only / </t>
    </r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🍓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(Berry) </t>
    </r>
    <r>
      <rPr>
        <sz val="10"/>
        <rFont val="WenQuanYi Zen Hei"/>
        <family val="2"/>
      </rPr>
      <t xml:space="preserve">제도</t>
    </r>
  </si>
  <si>
    <t xml:space="preserve">docs.channel.io/babechat/ko</t>
  </si>
  <si>
    <r>
      <rPr>
        <sz val="10"/>
        <rFont val="WenQuanYi Zen Hei"/>
        <family val="2"/>
      </rPr>
      <t xml:space="preserve">비용 정산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프로그램 소개</t>
    </r>
  </si>
  <si>
    <t xml:space="preserve">storyengine.gitbook.io/storyengine</t>
  </si>
  <si>
    <r>
      <rPr>
        <sz val="10"/>
        <rFont val="WenQuanYi Zen Hei"/>
        <family val="2"/>
      </rPr>
      <t xml:space="preserve">공식 크리에이터 지원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등급별 이미지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요약표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</si>
  <si>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t xml:space="preserve">사용자 제공 이미지</t>
  </si>
  <si>
    <r>
      <rPr>
        <sz val="10"/>
        <rFont val="WenQuanYi Zen Hei"/>
        <family val="2"/>
      </rPr>
      <t xml:space="preserve">공식 문서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 페이지 없음 — 전언 기반 정보</t>
    </r>
  </si>
  <si>
    <r>
      <rPr>
        <sz val="10"/>
        <rFont val="WenQuanYi Zen Hei"/>
        <family val="2"/>
      </rPr>
      <t xml:space="preserve">사용자 수집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커뮤니티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</si>
  <si>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이용약관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수익 분배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인증 크리에이터 자격 조건 안내</t>
    </r>
  </si>
  <si>
    <t xml:space="preserve">사용자 제공 발췌</t>
  </si>
  <si>
    <r>
      <rPr>
        <sz val="10"/>
        <rFont val="WenQuanYi Zen Hei"/>
        <family val="2"/>
      </rPr>
      <t xml:space="preserve">인증 크리에이터 신청 화면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</t>
    </r>
    <r>
      <rPr>
        <sz val="10"/>
        <rFont val="맑은 고딕"/>
        <family val="0"/>
        <charset val="1"/>
      </rPr>
      <t xml:space="preserve">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</si>
  <si>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공지사항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'(2025.11.12) / </t>
    </r>
    <r>
      <rPr>
        <sz val="10"/>
        <rFont val="WenQuanYi Zen Hei"/>
        <family val="2"/>
      </rPr>
      <t xml:space="preserve">제니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크리에이터 프로그램 달성 조건</t>
    </r>
  </si>
  <si>
    <t xml:space="preserve">genit.ai/ko</t>
  </si>
  <si>
    <r>
      <rPr>
        <sz val="10"/>
        <rFont val="WenQuanYi Zen Hei"/>
        <family val="2"/>
      </rPr>
      <t xml:space="preserve">블루젬 상점 오픈 안내 공지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상점 상품 목록</t>
    </r>
  </si>
  <si>
    <r>
      <rPr>
        <sz val="10"/>
        <rFont val="WenQuanYi Zen Hei"/>
        <family val="2"/>
      </rPr>
      <t xml:space="preserve">사용자 제공 이미지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발췌</t>
    </r>
  </si>
  <si>
    <t xml:space="preserve">공개 문서 없음 — 전언 기반 정보</t>
  </si>
  <si>
    <t xml:space="preserve">사용자 수집</t>
  </si>
  <si>
    <r>
      <rPr>
        <sz val="10"/>
        <rFont val="맑은 고딕"/>
        <family val="0"/>
        <charset val="1"/>
      </rPr>
      <t xml:space="preserve">FAQ '</t>
    </r>
    <r>
      <rPr>
        <sz val="10"/>
        <rFont val="WenQuanYi Zen Hei"/>
        <family val="2"/>
      </rPr>
      <t xml:space="preserve">타이틀 작가란 무엇인가요</t>
    </r>
    <r>
      <rPr>
        <sz val="10"/>
        <rFont val="맑은 고딕"/>
        <family val="0"/>
        <charset val="1"/>
      </rPr>
      <t xml:space="preserve">?' / '</t>
    </r>
    <r>
      <rPr>
        <sz val="10"/>
        <rFont val="WenQuanYi Zen Hei"/>
        <family val="2"/>
      </rPr>
      <t xml:space="preserve">작가 정산은 어떻게 받나요</t>
    </r>
    <r>
      <rPr>
        <sz val="10"/>
        <rFont val="맑은 고딕"/>
        <family val="0"/>
        <charset val="1"/>
      </rPr>
      <t xml:space="preserve">?' / </t>
    </r>
    <r>
      <rPr>
        <sz val="10"/>
        <rFont val="WenQuanYi Zen Hei"/>
        <family val="2"/>
      </rPr>
      <t xml:space="preserve">타이틀 작가 안내</t>
    </r>
  </si>
  <si>
    <r>
      <rPr>
        <sz val="10"/>
        <rFont val="WenQuanYi Zen Hei"/>
        <family val="2"/>
      </rPr>
      <t xml:space="preserve">작가 인센티브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 시스템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쿠키 충전 화면</t>
    </r>
  </si>
  <si>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 + </t>
    </r>
    <r>
      <rPr>
        <sz val="10"/>
        <rFont val="WenQuanYi Zen Hei"/>
        <family val="2"/>
      </rPr>
      <t xml:space="preserve">리프 충전 스토어 화면</t>
    </r>
  </si>
  <si>
    <r>
      <rPr>
        <sz val="10"/>
        <rFont val="WenQuanYi Zen Hei"/>
        <family val="2"/>
      </rPr>
      <t xml:space="preserve">사용자 제공 발췌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이미지</t>
    </r>
  </si>
  <si>
    <r>
      <rPr>
        <sz val="10"/>
        <rFont val="맑은 고딕"/>
        <family val="0"/>
        <charset val="1"/>
      </rPr>
      <t xml:space="preserve">'2. </t>
    </r>
    <r>
      <rPr>
        <sz val="10"/>
        <rFont val="WenQuanYi Zen Hei"/>
        <family val="2"/>
      </rPr>
      <t xml:space="preserve">크리에이터 정산율 안내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예정 단계</t>
    </r>
    <r>
      <rPr>
        <sz val="10"/>
        <rFont val="맑은 고딕"/>
        <family val="0"/>
        <charset val="1"/>
      </rPr>
      <t xml:space="preserve">)</t>
    </r>
  </si>
  <si>
    <t xml:space="preserve">정산률 안내</t>
  </si>
  <si>
    <t xml:space="preserve">서비스 소개 문구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</si>
  <si>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</si>
  <si>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b val="true"/>
        <sz val="10"/>
        <rFont val="맑은 고딕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원문 자체가 모순이거나 해석이 필요한 곳</t>
    </r>
  </si>
  <si>
    <t xml:space="preserve">상태</t>
  </si>
  <si>
    <t xml:space="preserve">처리</t>
  </si>
  <si>
    <t xml:space="preserve">미해소</t>
  </si>
  <si>
    <r>
      <rPr>
        <sz val="10"/>
        <rFont val="WenQuanYi Zen Hei"/>
        <family val="2"/>
      </rPr>
      <t xml:space="preserve">하이퍼 등급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 비율 — 클럽 문서 표는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본문 서술은 </t>
    </r>
    <r>
      <rPr>
        <sz val="10"/>
        <rFont val="맑은 고딕"/>
        <family val="0"/>
        <charset val="1"/>
      </rPr>
      <t xml:space="preserve">85%</t>
    </r>
  </si>
  <si>
    <r>
      <rPr>
        <sz val="10"/>
        <rFont val="WenQuanYi Zen Hei"/>
        <family val="2"/>
      </rPr>
      <t xml:space="preserve">표 값</t>
    </r>
    <r>
      <rPr>
        <sz val="10"/>
        <rFont val="맑은 고딕"/>
        <family val="0"/>
        <charset val="1"/>
      </rPr>
      <t xml:space="preserve">(90%)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문서로 확인 필요</t>
    </r>
  </si>
  <si>
    <r>
      <rPr>
        <sz val="10"/>
        <rFont val="WenQuanYi Zen Hei"/>
        <family val="2"/>
      </rPr>
      <t xml:space="preserve">공식 크리에이터 최대 출금 한도 — 인센티브 문서 </t>
    </r>
    <r>
      <rPr>
        <sz val="10"/>
        <rFont val="맑은 고딕"/>
        <family val="0"/>
        <charset val="1"/>
      </rPr>
      <t xml:space="preserve">'1,000,000 → 1,500,000' vs </t>
    </r>
    <r>
      <rPr>
        <sz val="10"/>
        <rFont val="WenQuanYi Zen Hei"/>
        <family val="2"/>
      </rPr>
      <t xml:space="preserve">공식 크리에이터 안내 </t>
    </r>
    <r>
      <rPr>
        <sz val="10"/>
        <rFont val="맑은 고딕"/>
        <family val="0"/>
        <charset val="1"/>
      </rPr>
      <t xml:space="preserve">'60,000 → 100,000'</t>
    </r>
  </si>
  <si>
    <r>
      <rPr>
        <sz val="10"/>
        <rFont val="WenQuanYi Zen Hei"/>
        <family val="2"/>
      </rPr>
      <t xml:space="preserve">수치 체계가 완전히 다름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안내문이 구버전일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어느 쪽도 채택하지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상향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으로만 표기</t>
    </r>
  </si>
  <si>
    <t xml:space="preserve">해석필요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</si>
  <si>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유형 별 수수료율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- 28%'</t>
    </r>
  </si>
  <si>
    <r>
      <rPr>
        <sz val="10"/>
        <rFont val="맑은 고딕"/>
        <family val="0"/>
        <charset val="1"/>
      </rPr>
      <t xml:space="preserve">28%</t>
    </r>
    <r>
      <rPr>
        <sz val="10"/>
        <rFont val="WenQuanYi Zen Hei"/>
        <family val="2"/>
      </rPr>
      <t xml:space="preserve">가 플랫폼 수수료인지 크리에이터 몫인지 원문상 불명확</t>
    </r>
  </si>
  <si>
    <t xml:space="preserve">해소</t>
  </si>
  <si>
    <r>
      <rPr>
        <sz val="10"/>
        <rFont val="WenQuanYi Zen Hei"/>
        <family val="2"/>
      </rPr>
      <t xml:space="preserve">슈퍼 등급 베리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적립률 — 표 </t>
    </r>
    <r>
      <rPr>
        <sz val="10"/>
        <rFont val="맑은 고딕"/>
        <family val="0"/>
        <charset val="1"/>
      </rPr>
      <t xml:space="preserve">11% vs </t>
    </r>
    <r>
      <rPr>
        <sz val="10"/>
        <rFont val="WenQuanYi Zen Hei"/>
        <family val="2"/>
      </rPr>
      <t xml:space="preserve">본문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</si>
  <si>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클럽 표와 베리 문서 표가 모두 </t>
    </r>
    <r>
      <rPr>
        <sz val="10"/>
        <rFont val="맑은 고딕"/>
        <family val="0"/>
        <charset val="1"/>
      </rPr>
      <t xml:space="preserve">11%</t>
    </r>
    <r>
      <rPr>
        <sz val="10"/>
        <rFont val="WenQuanYi Zen Hei"/>
        <family val="2"/>
      </rPr>
      <t xml:space="preserve">로 일치 → </t>
    </r>
    <r>
      <rPr>
        <sz val="10"/>
        <rFont val="맑은 고딕"/>
        <family val="0"/>
        <charset val="1"/>
      </rPr>
      <t xml:space="preserve">11%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본문이 오기</t>
    </r>
  </si>
  <si>
    <r>
      <rPr>
        <sz val="10"/>
        <rFont val="맑은 고딕"/>
        <family val="0"/>
        <charset val="1"/>
      </rPr>
      <t xml:space="preserve">Gemini 3.6 Flash —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</t>
    </r>
  </si>
  <si>
    <r>
      <rPr>
        <sz val="10"/>
        <rFont val="WenQuanYi Zen Hei"/>
        <family val="2"/>
      </rPr>
      <t xml:space="preserve">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</si>
  <si>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t xml:space="preserve">참고</t>
  </si>
  <si>
    <r>
      <rPr>
        <sz val="10"/>
        <rFont val="WenQuanYi Zen Hei"/>
        <family val="2"/>
      </rPr>
      <t xml:space="preserve">안내문은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인센티브 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 하나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인센티브 문서에는 공식 열</t>
    </r>
    <r>
      <rPr>
        <sz val="10"/>
        <rFont val="맑은 고딕"/>
        <family val="0"/>
        <charset val="1"/>
      </rPr>
      <t xml:space="preserve">(+2pt)</t>
    </r>
    <r>
      <rPr>
        <sz val="10"/>
        <rFont val="WenQuanYi Zen Hei"/>
        <family val="2"/>
      </rPr>
      <t xml:space="preserve">이 공개돼 있음</t>
    </r>
  </si>
  <si>
    <r>
      <rPr>
        <sz val="10"/>
        <rFont val="WenQuanYi Zen Hei"/>
        <family val="2"/>
      </rPr>
      <t xml:space="preserve">공개된 표 값</t>
    </r>
    <r>
      <rPr>
        <sz val="10"/>
        <rFont val="맑은 고딕"/>
        <family val="0"/>
        <charset val="1"/>
      </rPr>
      <t xml:space="preserve">(+2pt) </t>
    </r>
    <r>
      <rPr>
        <sz val="10"/>
        <rFont val="WenQuanYi Zen Hei"/>
        <family val="2"/>
      </rPr>
      <t xml:space="preserve">채택</t>
    </r>
  </si>
  <si>
    <r>
      <rPr>
        <sz val="10"/>
        <rFont val="맑은 고딕"/>
        <family val="0"/>
        <charset val="1"/>
      </rPr>
      <t xml:space="preserve">Claude Sonnet 4.5 Think, Opus 4.8, Sonnet 4.5 — </t>
    </r>
    <r>
      <rPr>
        <sz val="10"/>
        <rFont val="WenQuanYi Zen Hei"/>
        <family val="2"/>
      </rPr>
      <t xml:space="preserve">오리지널 문서에만 존재</t>
    </r>
  </si>
  <si>
    <r>
      <rPr>
        <sz val="10"/>
        <rFont val="WenQuanYi Zen Hei"/>
        <family val="2"/>
      </rPr>
      <t xml:space="preserve">인센티브 문서에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단종 추정</t>
    </r>
  </si>
  <si>
    <r>
      <rPr>
        <sz val="10"/>
        <rFont val="WenQuanYi Zen Hei"/>
        <family val="2"/>
      </rPr>
      <t xml:space="preserve">타이틀 작가 안내와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의 수치 충돌 — 등급 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vs 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루키 대화량</t>
    </r>
    <r>
      <rPr>
        <sz val="10"/>
        <rFont val="맑은 고딕"/>
        <family val="0"/>
        <charset val="1"/>
      </rPr>
      <t xml:space="preserve">(30K vs 50K), </t>
    </r>
    <r>
      <rPr>
        <sz val="10"/>
        <rFont val="WenQuanYi Zen Hei"/>
        <family val="2"/>
      </rPr>
      <t xml:space="preserve">루키 팔로워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vs 10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프라임 대화량</t>
    </r>
    <r>
      <rPr>
        <sz val="10"/>
        <rFont val="맑은 고딕"/>
        <family val="0"/>
        <charset val="1"/>
      </rPr>
      <t xml:space="preserve">(150K vs 300K), </t>
    </r>
    <r>
      <rPr>
        <sz val="10"/>
        <rFont val="WenQuanYi Zen Hei"/>
        <family val="2"/>
      </rPr>
      <t xml:space="preserve">현금 지급 시점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매월 말일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</si>
  <si>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하이퍼 등급을 포함한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를 최신으로 판단하고 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 문서가 구버전으로 보이나 확정 필요</t>
    </r>
  </si>
  <si>
    <t xml:space="preserve">구조적 한계</t>
  </si>
  <si>
    <r>
      <rPr>
        <sz val="10"/>
        <rFont val="WenQuanYi Zen Hei"/>
        <family val="2"/>
      </rPr>
      <t xml:space="preserve">기준 정산율이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배수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공개</t>
    </r>
  </si>
  <si>
    <r>
      <rPr>
        <sz val="10"/>
        <rFont val="WenQuanYi Zen Hei"/>
        <family val="2"/>
      </rPr>
      <t xml:space="preserve">기준값이 없어 절대 수입 산출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상대값만 공개하는 방식</t>
    </r>
  </si>
  <si>
    <t xml:space="preserve">안내 이미지의 장식 서체로 일부 글자가 변형 렌더링됨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</si>
  <si>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</si>
  <si>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t xml:space="preserve">확인필요</t>
  </si>
  <si>
    <r>
      <rPr>
        <sz val="10"/>
        <rFont val="맑은 고딕"/>
        <family val="0"/>
        <charset val="1"/>
      </rPr>
      <t xml:space="preserve">Kane </t>
    </r>
    <r>
      <rPr>
        <sz val="10"/>
        <rFont val="WenQuanYi Zen Hei"/>
        <family val="2"/>
      </rPr>
      <t xml:space="preserve">리스트의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파베</t>
    </r>
    <r>
      <rPr>
        <sz val="10"/>
        <rFont val="맑은 고딕"/>
        <family val="0"/>
        <charset val="1"/>
      </rPr>
      <t xml:space="preserve">(faveai.io)'</t>
    </r>
    <r>
      <rPr>
        <sz val="10"/>
        <rFont val="WenQuanYi Zen Hei"/>
        <family val="2"/>
      </rPr>
      <t xml:space="preserve">와 동일 서비스인지</t>
    </r>
  </si>
  <si>
    <r>
      <rPr>
        <sz val="10"/>
        <rFont val="WenQuanYi Zen Hei"/>
        <family val="2"/>
      </rPr>
      <t xml:space="preserve">동일 서비스로 추정하고 기록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필요</t>
    </r>
  </si>
  <si>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— 제작자는 수익 배분 알고리즘 등 비공개 정보를 기밀로 유지해야 함</t>
    </r>
  </si>
  <si>
    <r>
      <rPr>
        <sz val="10"/>
        <rFont val="WenQuanYi Zen Hei"/>
        <family val="2"/>
      </rPr>
      <t xml:space="preserve">정산율이 외부로 나오지 않는 구조적 원인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제보로도 확보가 어려울 수 있음</t>
    </r>
  </si>
  <si>
    <r>
      <rPr>
        <sz val="10"/>
        <rFont val="WenQuanYi Zen Hei"/>
        <family val="2"/>
      </rPr>
      <t xml:space="preserve">정형화된 요율표 없이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</t>
    </r>
  </si>
  <si>
    <r>
      <rPr>
        <sz val="10"/>
        <rFont val="WenQuanYi Zen Hei"/>
        <family val="2"/>
      </rPr>
      <t xml:space="preserve">비율이라는 개념 자체가 성립하지 않을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사례 수집 외에는 방법이 없음</t>
    </r>
  </si>
  <si>
    <r>
      <rPr>
        <b val="true"/>
        <sz val="10"/>
        <rFont val="맑은 고딕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미확인 — 추가 자료가 필요한 항목</t>
    </r>
  </si>
  <si>
    <t xml:space="preserve">우선</t>
  </si>
  <si>
    <t xml:space="preserve">필요 자료</t>
  </si>
  <si>
    <t xml:space="preserve">이게 있으면 채워지는 것</t>
  </si>
  <si>
    <t xml:space="preserve">1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</si>
  <si>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</si>
  <si>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sz val="10"/>
        <rFont val="맑은 고딕"/>
        <family val="0"/>
        <charset val="1"/>
      </rPr>
      <t xml:space="preserve">70~90%</t>
    </r>
    <r>
      <rPr>
        <sz val="10"/>
        <rFont val="WenQuanYi Zen Hei"/>
        <family val="2"/>
      </rPr>
      <t xml:space="preserve">의 모수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총결제액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인앱수수료 공제 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현금 출금 가능 여부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주기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 크리에이터의 현금 경로 존재 여부가 여기서 확정</t>
    </r>
  </si>
  <si>
    <t xml:space="preserve">채팅 정산 구조 문서</t>
  </si>
  <si>
    <r>
      <rPr>
        <sz val="10"/>
        <rFont val="WenQuanYi Zen Hei"/>
        <family val="2"/>
      </rPr>
      <t xml:space="preserve">현재 후원 포인트 조항만 확인됨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채팅당 정산을 모르면 타사와 비교 불가</t>
    </r>
  </si>
  <si>
    <t xml:space="preserve">2</t>
  </si>
  <si>
    <r>
      <rPr>
        <sz val="10"/>
        <rFont val="WenQuanYi Zen Hei"/>
        <family val="2"/>
      </rPr>
      <t xml:space="preserve">깃털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윙 충전 가격표</t>
    </r>
  </si>
  <si>
    <r>
      <rPr>
        <sz val="10"/>
        <rFont val="WenQuanYi Zen Hei"/>
        <family val="2"/>
      </rPr>
      <t xml:space="preserve">건당 수령액 → 실질 정산율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환산</t>
    </r>
  </si>
  <si>
    <t xml:space="preserve">프로챗 충전 가격표</t>
  </si>
  <si>
    <t xml:space="preserve">베리 실질 회수율의 원화 환산</t>
  </si>
  <si>
    <t xml:space="preserve">크레딧 충전 가격표</t>
  </si>
  <si>
    <r>
      <rPr>
        <sz val="10"/>
        <rFont val="WenQuanYi Zen Hei"/>
        <family val="2"/>
      </rPr>
      <t xml:space="preserve">루나톡 포인트 현금 환산율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조건</t>
    </r>
  </si>
  <si>
    <r>
      <rPr>
        <sz val="10"/>
        <rFont val="WenQuanYi Zen Hei"/>
        <family val="2"/>
      </rPr>
      <t xml:space="preserve">달성 보상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포인트의 실질 가치</t>
    </r>
  </si>
  <si>
    <t xml:space="preserve">3</t>
  </si>
  <si>
    <t xml:space="preserve">베리샵 실제 상품 가격 예시</t>
  </si>
  <si>
    <r>
      <rPr>
        <sz val="10"/>
        <rFont val="맑은 고딕"/>
        <family val="0"/>
        <charset val="1"/>
      </rPr>
      <t xml:space="preserve">1 BP</t>
    </r>
    <r>
      <rPr>
        <sz val="10"/>
        <rFont val="WenQuanYi Zen Hei"/>
        <family val="2"/>
      </rPr>
      <t xml:space="preserve">의 원화 가치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베리샵 중 유리한 쪽 판정</t>
    </r>
  </si>
  <si>
    <r>
      <rPr>
        <sz val="10"/>
        <rFont val="WenQuanYi Zen Hei"/>
        <family val="2"/>
      </rPr>
      <t xml:space="preserve">결제 안내 </t>
    </r>
    <r>
      <rPr>
        <sz val="10"/>
        <rFont val="맑은 고딕"/>
        <family val="0"/>
        <charset val="1"/>
      </rPr>
      <t xml:space="preserve">/ FAQ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</si>
  <si>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</t>
    </r>
    <r>
      <rPr>
        <sz val="10"/>
        <rFont val="WenQuanYi Zen Hei"/>
        <family val="2"/>
      </rPr>
      <t xml:space="preserve">의 정확한 의미</t>
    </r>
  </si>
  <si>
    <t xml:space="preserve">현행 출금 단위표</t>
  </si>
  <si>
    <t xml:space="preserve">공식 크리에이터 출금 한도 충돌 해소</t>
  </si>
  <si>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비공식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크리에이터 정산율</t>
    </r>
  </si>
  <si>
    <t xml:space="preserve">공식 등급의 우대 폭 산출</t>
  </si>
  <si>
    <t xml:space="preserve">4</t>
  </si>
  <si>
    <r>
      <rPr>
        <sz val="10"/>
        <rFont val="WenQuanYi Zen Hei"/>
        <family val="2"/>
      </rPr>
      <t xml:space="preserve">윙</t>
    </r>
    <r>
      <rPr>
        <sz val="10"/>
        <rFont val="맑은 고딕"/>
        <family val="0"/>
        <charset val="1"/>
      </rPr>
      <t xml:space="preserve">(🪽) </t>
    </r>
    <r>
      <rPr>
        <sz val="10"/>
        <rFont val="WenQuanYi Zen Hei"/>
        <family val="2"/>
      </rPr>
      <t xml:space="preserve">선물 기능 안내</t>
    </r>
  </si>
  <si>
    <r>
      <rPr>
        <sz val="10"/>
        <rFont val="WenQuanYi Zen Hei"/>
        <family val="2"/>
      </rPr>
      <t xml:space="preserve">선물 수수료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의 모수</t>
    </r>
  </si>
  <si>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 초회 달성 보상 </t>
    </r>
    <r>
      <rPr>
        <sz val="10"/>
        <rFont val="맑은 고딕"/>
        <family val="0"/>
        <charset val="1"/>
      </rPr>
      <t xml:space="preserve">/ '6/4','3/2' </t>
    </r>
    <r>
      <rPr>
        <sz val="10"/>
        <rFont val="WenQuanYi Zen Hei"/>
        <family val="2"/>
      </rPr>
      <t xml:space="preserve">표기 의미</t>
    </r>
  </si>
  <si>
    <t xml:space="preserve">등급표 빈칸 보완</t>
  </si>
  <si>
    <t xml:space="preserve">전체</t>
  </si>
  <si>
    <t xml:space="preserve">원천징수율</t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</si>
  <si>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표기의 실수령 환산</t>
    </r>
  </si>
  <si>
    <t xml:space="preserve">정산 재원 — 채팅이 무료인데 정산 원천이 무엇인지</t>
  </si>
  <si>
    <r>
      <rPr>
        <sz val="10"/>
        <rFont val="WenQuanYi Zen Hei"/>
        <family val="2"/>
      </rPr>
      <t xml:space="preserve">무료 채팅 구조에서 크리에이터 현금 정산이 나온다면 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광고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 등 별도 수익원이 있거나 투자금 기반 한시적 지원일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지속가능성 판단의 핵심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</si>
  <si>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방식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지원 규모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</si>
  <si>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 없음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전언 외에 확인된 것이 없음</t>
    </r>
  </si>
  <si>
    <r>
      <rPr>
        <sz val="10"/>
        <rFont val="WenQuanYi Zen Hei"/>
        <family val="2"/>
      </rPr>
      <t xml:space="preserve">공식 크리에이터 안내 —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</si>
  <si>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제도 존재는 확인되나 내용 일체 미공개</t>
  </si>
  <si>
    <t xml:space="preserve">제작자 프로그램 운영정책 원문</t>
  </si>
  <si>
    <r>
      <rPr>
        <sz val="10"/>
        <rFont val="WenQuanYi Zen Hei"/>
        <family val="2"/>
      </rPr>
      <t xml:space="preserve">약관이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 금액을 전부 이 문서에 위임하고 있음</t>
    </r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</si>
  <si>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성격과 사용처</t>
    </r>
  </si>
  <si>
    <t xml:space="preserve">인증 전 단계 크리에이터가 실제로 무엇을 받는지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</si>
  <si>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결제액 기준인지 재화 환산액 기준인지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</t>
    </r>
  </si>
  <si>
    <r>
      <rPr>
        <sz val="10"/>
        <rFont val="맑은 고딕"/>
        <family val="0"/>
        <charset val="1"/>
      </rPr>
      <t xml:space="preserve">3%/8%</t>
    </r>
    <r>
      <rPr>
        <sz val="10"/>
        <rFont val="WenQuanYi Zen Hei"/>
        <family val="2"/>
      </rPr>
      <t xml:space="preserve">의 실질이 여기서 갈림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명시된 유일한 사례라 이것만 확정되면 타사 비교의 기준점이 됨</t>
    </r>
  </si>
  <si>
    <r>
      <rPr>
        <sz val="10"/>
        <rFont val="WenQuanYi Zen Hei"/>
        <family val="2"/>
      </rPr>
      <t xml:space="preserve">커미션의 현금 출금 가능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주기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</si>
  <si>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표기돼 있어 현금화 여부 불명</t>
    </r>
  </si>
  <si>
    <r>
      <rPr>
        <sz val="10"/>
        <rFont val="WenQuanYi Zen Hei"/>
        <family val="2"/>
      </rPr>
      <t xml:space="preserve">인증 크리에이터 약관 원문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</si>
  <si>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유지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박탈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승격 심사 방식</t>
    </r>
  </si>
  <si>
    <t xml:space="preserve">젤리의 현금 가치 및 젤리샵 사용처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</si>
  <si>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10%'</t>
    </r>
    <r>
      <rPr>
        <sz val="10"/>
        <rFont val="WenQuanYi Zen Hei"/>
        <family val="2"/>
      </rPr>
      <t xml:space="preserve">가 전부 젤리로 지급됨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젤리가 현금화 안 되면 실질 정산은 튜닝 모델분뿐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</si>
  <si>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후인지</t>
    </r>
  </si>
  <si>
    <r>
      <rPr>
        <sz val="10"/>
        <rFont val="맑은 고딕"/>
        <family val="0"/>
        <charset val="1"/>
      </rPr>
      <t xml:space="preserve">5~50%</t>
    </r>
    <r>
      <rPr>
        <sz val="10"/>
        <rFont val="WenQuanYi Zen Hei"/>
        <family val="2"/>
      </rPr>
      <t xml:space="preserve">의 실질이 여기서 갈림</t>
    </r>
  </si>
  <si>
    <r>
      <rPr>
        <sz val="10"/>
        <rFont val="WenQuanYi Zen Hei"/>
        <family val="2"/>
      </rPr>
      <t xml:space="preserve">튜닝 모델의 정확한 범위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</si>
  <si>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 모호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고단가 모델이 튜닝에 포함되는지가 수령액에 직결</t>
    </r>
  </si>
  <si>
    <r>
      <rPr>
        <sz val="10"/>
        <rFont val="WenQuanYi Zen Hei"/>
        <family val="2"/>
      </rPr>
      <t xml:space="preserve">퍼블리싱 계약의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위약 조항</t>
    </r>
  </si>
  <si>
    <t xml:space="preserve">계약 내용이 비공개</t>
  </si>
  <si>
    <r>
      <rPr>
        <sz val="10"/>
        <rFont val="WenQuanYi Zen Hei"/>
        <family val="2"/>
      </rPr>
      <t xml:space="preserve">최소 정산액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무료 제니 사용분의 정산 처리</t>
    </r>
  </si>
  <si>
    <t xml:space="preserve">정산 페이지 업데이트 예정 상태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</si>
  <si>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대화 소모 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 젬 기준인지 별도 환산인지</t>
    </r>
  </si>
  <si>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</t>
    </r>
    <r>
      <rPr>
        <sz val="10"/>
        <rFont val="WenQuanYi Zen Hei"/>
        <family val="2"/>
      </rPr>
      <t xml:space="preserve">의 모수 확정</t>
    </r>
  </si>
  <si>
    <r>
      <rPr>
        <sz val="10"/>
        <rFont val="WenQuanYi Zen Hei"/>
        <family val="2"/>
      </rPr>
      <t xml:space="preserve">블루젬 유효기간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소멸 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교환 최소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자격</t>
    </r>
  </si>
  <si>
    <t xml:space="preserve">베이비챗형 소멸 리스크 존재 여부</t>
  </si>
  <si>
    <t xml:space="preserve">블루젬 상점 정식 오픈 시점</t>
  </si>
  <si>
    <r>
      <rPr>
        <sz val="10"/>
        <rFont val="WenQuanYi Zen Hei"/>
        <family val="2"/>
      </rPr>
      <t xml:space="preserve">공지 시점 기준 오픈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전 상태였음</t>
    </r>
  </si>
  <si>
    <t xml:space="preserve">이벤트 기간 및 종료 후 상시 요율</t>
  </si>
  <si>
    <r>
      <rPr>
        <sz val="10"/>
        <rFont val="WenQuanYi Zen Hei"/>
        <family val="2"/>
      </rPr>
      <t xml:space="preserve">현재 확인된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원이 상시인지 한시인지가 비교의 전제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</si>
  <si>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</si>
  <si>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계약 기반 제도 존재는 확인되나 내용 일체 미공개</t>
  </si>
  <si>
    <r>
      <rPr>
        <sz val="10"/>
        <rFont val="WenQuanYi Zen Hei"/>
        <family val="2"/>
      </rPr>
      <t xml:space="preserve">모델별 정확한 단가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원이 어느 모델인지</t>
    </r>
    <r>
      <rPr>
        <sz val="10"/>
        <rFont val="맑은 고딕"/>
        <family val="0"/>
        <charset val="1"/>
      </rPr>
      <t xml:space="preserve">)</t>
    </r>
  </si>
  <si>
    <t xml:space="preserve">타사 모델별 표와 대조 가능해짐</t>
  </si>
  <si>
    <t xml:space="preserve">유저 결제 단가</t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</si>
  <si>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원을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환산</t>
    </r>
  </si>
  <si>
    <t xml:space="preserve">루키 기준 정산율</t>
  </si>
  <si>
    <r>
      <rPr>
        <sz val="10"/>
        <rFont val="WenQuanYi Zen Hei"/>
        <family val="2"/>
      </rPr>
      <t xml:space="preserve">배수의 기준값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이것 없이는 위프 정산 수준을 전혀 평가할 수 없음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</si>
  <si>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환산율</t>
    </r>
  </si>
  <si>
    <t xml:space="preserve">루키는 위프로만 수령하므로 실질 가치 판단에 필수</t>
  </si>
  <si>
    <r>
      <rPr>
        <sz val="10"/>
        <rFont val="WenQuanYi Zen Hei"/>
        <family val="2"/>
      </rPr>
      <t xml:space="preserve">유료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유저 결제 단가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잠금 이미지 열람 요율</t>
    </r>
  </si>
  <si>
    <t xml:space="preserve">건당 수령액 환산</t>
  </si>
  <si>
    <t xml:space="preserve">두 문서 수치 충돌의 확정본</t>
  </si>
  <si>
    <t xml:space="preserve">등급 조건과 현금 지급 시점</t>
  </si>
  <si>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</t>
    </r>
  </si>
  <si>
    <r>
      <rPr>
        <sz val="10"/>
        <rFont val="WenQuanYi Zen Hei"/>
        <family val="2"/>
      </rPr>
      <t xml:space="preserve">실질 회수율 확정의 열쇠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가설의 검증 수단</t>
    </r>
  </si>
  <si>
    <r>
      <rPr>
        <sz val="10"/>
        <rFont val="WenQuanYi Zen Hei"/>
        <family val="2"/>
      </rPr>
      <t xml:space="preserve">구매 시 지급되는 보너스 쿠키가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</si>
  <si>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t xml:space="preserve">정산 모수가 유료쿠키 기준인지 총쿠키 기준인지 갈림</t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</si>
  <si>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(+3%)</t>
    </r>
    <r>
      <rPr>
        <sz val="10"/>
        <rFont val="WenQuanYi Zen Hei"/>
        <family val="2"/>
      </rPr>
      <t xml:space="preserve">와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의 동시 적용 가능 여부</t>
    </r>
  </si>
  <si>
    <r>
      <rPr>
        <sz val="10"/>
        <rFont val="WenQuanYi Zen Hei"/>
        <family val="2"/>
      </rPr>
      <t xml:space="preserve">제도상 최대 요율이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인지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인지</t>
    </r>
  </si>
  <si>
    <t xml:space="preserve">오리지널 작품 계약금 규모</t>
  </si>
  <si>
    <t xml:space="preserve">저작권 양도의 대가 수준</t>
  </si>
  <si>
    <r>
      <rPr>
        <sz val="10"/>
        <rFont val="WenQuanYi Zen Hei"/>
        <family val="2"/>
      </rPr>
      <t xml:space="preserve">시즌 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종료 일자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캐럿의 정체와 용도</t>
    </r>
  </si>
  <si>
    <r>
      <rPr>
        <sz val="10"/>
        <rFont val="WenQuanYi Zen Hei"/>
        <family val="2"/>
      </rPr>
      <t xml:space="preserve">구매 시 지급되는 보너스 리프가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</si>
  <si>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r>
      <rPr>
        <sz val="10"/>
        <rFont val="WenQuanYi Zen Hei"/>
        <family val="2"/>
      </rPr>
      <t xml:space="preserve">정산 모수 확정 —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</t>
    </r>
    <r>
      <rPr>
        <sz val="10"/>
        <rFont val="WenQuanYi Zen Hei"/>
        <family val="2"/>
      </rPr>
      <t xml:space="preserve">의 처리</t>
    </r>
  </si>
  <si>
    <r>
      <rPr>
        <sz val="10"/>
        <rFont val="WenQuanYi Zen Hei"/>
        <family val="2"/>
      </rPr>
      <t xml:space="preserve">현금 환산율 </t>
    </r>
    <r>
      <rPr>
        <sz val="10"/>
        <rFont val="맑은 고딕"/>
        <family val="0"/>
        <charset val="1"/>
      </rPr>
      <t xml:space="preserve">85.53%</t>
    </r>
    <r>
      <rPr>
        <sz val="10"/>
        <rFont val="WenQuanYi Zen Hei"/>
        <family val="2"/>
      </rPr>
      <t xml:space="preserve">의 세부 내역</t>
    </r>
  </si>
  <si>
    <r>
      <rPr>
        <sz val="10"/>
        <rFont val="WenQuanYi Zen Hei"/>
        <family val="2"/>
      </rPr>
      <t xml:space="preserve">원천징수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 구성</t>
    </r>
  </si>
  <si>
    <t xml:space="preserve">독점 크리에이터의 정산율 외 추가 혜택 유무</t>
  </si>
  <si>
    <r>
      <rPr>
        <sz val="10"/>
        <rFont val="WenQuanYi Zen Hei"/>
        <family val="2"/>
      </rPr>
      <t xml:space="preserve">문서상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제작 지원 항목이 전혀 없음</t>
    </r>
  </si>
  <si>
    <t xml:space="preserve">캐롯 충전 가격표</t>
  </si>
  <si>
    <r>
      <rPr>
        <sz val="10"/>
        <rFont val="WenQuanYi Zen Hei"/>
        <family val="2"/>
      </rPr>
      <t xml:space="preserve">모수의 원화 환산 — 확정되면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유저 결제액 대비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직접 비교표에 편입 가능</t>
    </r>
  </si>
  <si>
    <r>
      <rPr>
        <sz val="10"/>
        <rFont val="WenQuanYi Zen Hei"/>
        <family val="2"/>
      </rPr>
      <t xml:space="preserve">인증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</si>
  <si>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전속 계층 분류에 필요</t>
  </si>
  <si>
    <r>
      <rPr>
        <sz val="10"/>
        <rFont val="WenQuanYi Zen Hei"/>
        <family val="2"/>
      </rPr>
      <t xml:space="preserve">시행 시점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미션 제도 구체 내용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</si>
  <si>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단계이며 미션 연동 구조는 논의 중</t>
    </r>
  </si>
  <si>
    <r>
      <rPr>
        <sz val="10"/>
        <rFont val="맑은 고딕"/>
        <family val="0"/>
        <charset val="1"/>
      </rPr>
      <t xml:space="preserve">2026.06.30 </t>
    </r>
    <r>
      <rPr>
        <sz val="10"/>
        <rFont val="WenQuanYi Zen Hei"/>
        <family val="2"/>
      </rPr>
      <t xml:space="preserve">이후 등록 제작자의 정산률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</si>
  <si>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지금 신규 진입하는 크리에이터의 조건이 미정</t>
    </r>
  </si>
  <si>
    <r>
      <rPr>
        <sz val="10"/>
        <rFont val="WenQuanYi Zen Hei"/>
        <family val="2"/>
      </rPr>
      <t xml:space="preserve">정산 주기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 제외 조건</t>
    </r>
  </si>
  <si>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의 모수 </t>
    </r>
    <r>
      <rPr>
        <sz val="10"/>
        <rFont val="맑은 고딕"/>
        <family val="0"/>
        <charset val="1"/>
      </rPr>
      <t xml:space="preserve">/ 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의미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가산인지 전부인지</t>
    </r>
    <r>
      <rPr>
        <sz val="10"/>
        <rFont val="맑은 고딕"/>
        <family val="0"/>
        <charset val="1"/>
      </rPr>
      <t xml:space="preserve">)</t>
    </r>
  </si>
  <si>
    <t xml:space="preserve">현재 요율 숫자 외에는 아무것도 확인되지 않음</t>
  </si>
  <si>
    <r>
      <rPr>
        <sz val="10"/>
        <rFont val="WenQuanYi Zen Hei"/>
        <family val="2"/>
      </rPr>
      <t xml:space="preserve">재화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출금 가능 여부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정산 주기</t>
    </r>
  </si>
  <si>
    <t xml:space="preserve">마일리지 → 리워드 전환 비율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</si>
  <si>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 확인의 핵심</t>
    </r>
    <r>
      <rPr>
        <sz val="10"/>
        <rFont val="맑은 고딕"/>
        <family val="0"/>
        <charset val="1"/>
      </rPr>
      <t xml:space="preserve">. 1:1</t>
    </r>
    <r>
      <rPr>
        <sz val="10"/>
        <rFont val="WenQuanYi Zen Hei"/>
        <family val="2"/>
      </rPr>
      <t xml:space="preserve">이면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가 실질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아니면 표기와 실질이 갈림</t>
    </r>
  </si>
  <si>
    <t xml:space="preserve">재화 충전 가격표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</si>
  <si>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대화 수익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원화 환산</t>
    </r>
  </si>
  <si>
    <r>
      <rPr>
        <sz val="10"/>
        <rFont val="WenQuanYi Zen Hei"/>
        <family val="2"/>
      </rPr>
      <t xml:space="preserve">최소 출금액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(P)</t>
    </r>
    <r>
      <rPr>
        <sz val="10"/>
        <rFont val="WenQuanYi Zen Hei"/>
        <family val="2"/>
      </rPr>
      <t xml:space="preserve">의 성격과 사용처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점의 금액 환산</t>
    </r>
  </si>
  <si>
    <t xml:space="preserve">크플 전속 크리에이터 제도 설계 — 관찰과 시사점</t>
  </si>
  <si>
    <r>
      <rPr>
        <i val="true"/>
        <sz val="9"/>
        <color rgb="FF595959"/>
        <rFont val="WenQuanYi Zen Hei"/>
        <family val="2"/>
      </rPr>
      <t xml:space="preserve">아래는 위 데이터에서 도출한 해석입니다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원문 사실이 아니라 판단이므로 구분해서 읽어주세요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</si>
  <si>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#</t>
  </si>
  <si>
    <t xml:space="preserve">관찰</t>
  </si>
  <si>
    <t xml:space="preserve">근거</t>
  </si>
  <si>
    <t xml:space="preserve">크플 시사점</t>
  </si>
  <si>
    <r>
      <rPr>
        <sz val="10"/>
        <rFont val="WenQuanYi Zen Hei"/>
        <family val="2"/>
      </rPr>
      <t xml:space="preserve">아무도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확실히 더 많은 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숫자로 제시하지 않는다</t>
    </r>
  </si>
  <si>
    <r>
      <rPr>
        <sz val="10"/>
        <rFont val="WenQuanYi Zen Hei"/>
        <family val="2"/>
      </rPr>
      <t xml:space="preserve">케이브덕은 채팅 가산이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이고 안내문도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이라며 수치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파트너는 요율 우대 자체가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</si>
  <si>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정산율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공개된 숫자로 못 박는 것만으로 유일한 포지션이 성립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젠잇만 예외적으로 퍼블리싱 정산율</t>
    </r>
    <r>
      <rPr>
        <sz val="10"/>
        <rFont val="맑은 고딕"/>
        <family val="0"/>
        <charset val="1"/>
      </rPr>
      <t xml:space="preserve">(20~50%)</t>
    </r>
    <r>
      <rPr>
        <sz val="10"/>
        <rFont val="WenQuanYi Zen Hei"/>
        <family val="2"/>
      </rPr>
      <t xml:space="preserve">을 공개하고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사실상 젠잇이 이 지점의 비교 기준</t>
    </r>
  </si>
  <si>
    <t xml:space="preserve">전속은 이미 희소한 자격이 아니다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</si>
  <si>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대화수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</si>
  <si>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선발된 소수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라는 포지셔닝으로는 차별화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문턱 낮추기 경쟁도 실익이 적음 — 조건 대비 보상의 크기로 승부할 것</t>
    </r>
  </si>
  <si>
    <r>
      <rPr>
        <sz val="10"/>
        <rFont val="WenQuanYi Zen Hei"/>
        <family val="2"/>
      </rPr>
      <t xml:space="preserve">독점 강도는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단계로 갈리고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신규작 단위가 가장 영리하다</t>
    </r>
  </si>
  <si>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케이브덕은 타 플랫폼 활동을 막지 않으면서 신규작은 영구 독점</t>
    </r>
  </si>
  <si>
    <r>
      <rPr>
        <sz val="10"/>
        <rFont val="WenQuanYi Zen Hei"/>
        <family val="2"/>
      </rPr>
      <t xml:space="preserve">전면 전속은 기존 수입 포기를 요구해 상위 크리에이터일수록 거절함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신규작 단위 독점이 진입 저항과 락인을 동시에 잡는 현실적 절충안</t>
    </r>
  </si>
  <si>
    <t xml:space="preserve">위약 조항이 있는 곳은 케이브덕뿐이다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</si>
  <si>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 회수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위약 조항 자체가 미명시</t>
    </r>
  </si>
  <si>
    <r>
      <rPr>
        <sz val="10"/>
        <rFont val="WenQuanYi Zen Hei"/>
        <family val="2"/>
      </rPr>
      <t xml:space="preserve">크리에이터에게 가장 무거운 리스크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회수 조항을 두지 않거나 상한을 명시하면 심리적 진입장벽을 낮출 수 있음</t>
    </r>
  </si>
  <si>
    <t xml:space="preserve">유지 의무를 건 곳도 케이브덕뿐인데 보상이 상징적이다</t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</si>
  <si>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</si>
  <si>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의무는 걸고 보상은 안 주는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유지 조건을 두더라도 보상 크기를 현실화해야 제도가 작동함</t>
    </r>
  </si>
  <si>
    <t xml:space="preserve">루나톡은 크플이 하려는 전략을 이미 실행 중이다</t>
  </si>
  <si>
    <r>
      <rPr>
        <sz val="10"/>
        <rFont val="WenQuanYi Zen Hei"/>
        <family val="2"/>
      </rPr>
      <t xml:space="preserve">전 등급 공통 신청 조건이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루나톡에서 활동중이거나 활동 예정인 타 플랫폼 활동작가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타 플랫폼 실적으로 지원하는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이주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트랙을 별도 운영</t>
    </r>
  </si>
  <si>
    <r>
      <rPr>
        <sz val="10"/>
        <rFont val="WenQuanYi Zen Hei"/>
        <family val="2"/>
      </rPr>
      <t xml:space="preserve">벤치마킹 대상이자 같은 풀을 놓고 다툴 직접 경쟁자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우선 분석 대상으로 올릴 것</t>
    </r>
  </si>
  <si>
    <r>
      <rPr>
        <sz val="10"/>
        <rFont val="WenQuanYi Zen Hei"/>
        <family val="2"/>
      </rPr>
      <t xml:space="preserve">타 플랫폼 실적을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할인 인정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하는 환산 규칙의 선례가 있다</t>
    </r>
  </si>
  <si>
    <r>
      <rPr>
        <sz val="10"/>
        <rFont val="WenQuanYi Zen Hei"/>
        <family val="2"/>
      </rPr>
      <t xml:space="preserve">루나톡 이주 트랙은 자사 대화수 대비 </t>
    </r>
    <r>
      <rPr>
        <sz val="10"/>
        <rFont val="맑은 고딕"/>
        <family val="0"/>
        <charset val="1"/>
      </rPr>
      <t xml:space="preserve">2.5~6</t>
    </r>
    <r>
      <rPr>
        <sz val="10"/>
        <rFont val="WenQuanYi Zen Hei"/>
        <family val="2"/>
      </rPr>
      <t xml:space="preserve">배를 요구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</si>
  <si>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외부 실적을 등급으로 환산하는 시장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배수를 낮추면 그 자체가 유인이 됨</t>
    </r>
  </si>
  <si>
    <t xml:space="preserve">전속 혜택의 무게중심이 현금에서 창작 인프라로 이동 중이다</t>
  </si>
  <si>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NovelAI·PIX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스테이블 디퓨전</t>
    </r>
    <r>
      <rPr>
        <sz val="10"/>
        <rFont val="맑은 고딕"/>
        <family val="0"/>
        <charset val="1"/>
      </rPr>
      <t xml:space="preserve">, BGM 30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여행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GPU, </t>
    </r>
    <r>
      <rPr>
        <sz val="10"/>
        <rFont val="WenQuanYi Zen Hei"/>
        <family val="2"/>
      </rPr>
      <t xml:space="preserve">굿즈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현지화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</si>
  <si>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현금 여력이 부족한 신규 플랫폼도 인프라 제공으로 경쟁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크리에이터가 원하는 것이 도구인지 돈인지는 확인 필요 — 인터뷰 권장</t>
    </r>
  </si>
  <si>
    <t xml:space="preserve">비전속</t>
  </si>
  <si>
    <t xml:space="preserve">정액제는 고래 유저를 크리에이터 수익으로 연결하지 못한다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</si>
  <si>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 모두 채팅 건당 정액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아무리 많이 결제해도 크리에이터 몫은 메시지 수에 고정</t>
    </r>
  </si>
  <si>
    <r>
      <rPr>
        <sz val="10"/>
        <rFont val="WenQuanYi Zen Hei"/>
        <family val="2"/>
      </rPr>
      <t xml:space="preserve">정률제 채택 시 그 자체가 구조적 차별점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헤비 유저를 보유한 상위 크리에이터에게 강하게 소구</t>
    </r>
  </si>
  <si>
    <t xml:space="preserve">베이비챗 크리에이터는 베리로 현금을 만질 수 없다</t>
  </si>
  <si>
    <r>
      <rPr>
        <sz val="10"/>
        <rFont val="WenQuanYi Zen Hei"/>
        <family val="2"/>
      </rPr>
      <t xml:space="preserve">베리 출구는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과 베리샵 상품 교환뿐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 경로 없음</t>
    </r>
  </si>
  <si>
    <r>
      <rPr>
        <sz val="10"/>
        <rFont val="WenQuanYi Zen Hei"/>
        <family val="2"/>
      </rPr>
      <t xml:space="preserve">현금 정산을 전면에 내세우면 베이비챗 풀에 직접 소구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확인 후 확정할 것</t>
    </r>
  </si>
  <si>
    <r>
      <rPr>
        <sz val="10"/>
        <rFont val="WenQuanYi Zen Hei"/>
        <family val="2"/>
      </rPr>
      <t xml:space="preserve">베이비챗의 표기 적립률과 실질 구매력이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배 차이난다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</si>
  <si>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적립 → 베리→프로챗 </t>
    </r>
    <r>
      <rPr>
        <sz val="10"/>
        <rFont val="맑은 고딕"/>
        <family val="0"/>
        <charset val="1"/>
      </rPr>
      <t xml:space="preserve">10:1 </t>
    </r>
    <r>
      <rPr>
        <sz val="10"/>
        <rFont val="WenQuanYi Zen Hei"/>
        <family val="2"/>
      </rPr>
      <t xml:space="preserve">전환 → 실질 </t>
    </r>
    <r>
      <rPr>
        <sz val="10"/>
        <rFont val="맑은 고딕"/>
        <family val="0"/>
        <charset val="1"/>
      </rPr>
      <t xml:space="preserve">1%. </t>
    </r>
    <r>
      <rPr>
        <sz val="10"/>
        <rFont val="WenQuanYi Zen Hei"/>
        <family val="2"/>
      </rPr>
      <t xml:space="preserve">제도상 최대치도 </t>
    </r>
    <r>
      <rPr>
        <sz val="10"/>
        <rFont val="맑은 고딕"/>
        <family val="0"/>
        <charset val="1"/>
      </rPr>
      <t xml:space="preserve">2.3%</t>
    </r>
  </si>
  <si>
    <r>
      <rPr>
        <sz val="10"/>
        <rFont val="WenQuanYi Zen Hei"/>
        <family val="2"/>
      </rPr>
      <t xml:space="preserve">숫자를 크게 보이게 하는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단일 단위로 표기해 신뢰를 가져갈 수 있음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</si>
  <si>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소멸이 롱테일을 배제한다</t>
    </r>
  </si>
  <si>
    <r>
      <rPr>
        <sz val="10"/>
        <rFont val="WenQuanYi Zen Hei"/>
        <family val="2"/>
      </rPr>
      <t xml:space="preserve">작품별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미달 시 적립분 사용 불가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년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집계로 합산 불가</t>
    </r>
  </si>
  <si>
    <r>
      <rPr>
        <sz val="10"/>
        <rFont val="WenQuanYi Zen Hei"/>
        <family val="2"/>
      </rPr>
      <t xml:space="preserve">활성화 장벽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계정 단위 합산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소멸 없음 — 셋 중 하나만 걸어도 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다작 크리에이터에게 명확한 대비</t>
    </r>
  </si>
  <si>
    <t xml:space="preserve">건당 수령액 격차가 크다</t>
  </si>
  <si>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급 기준 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미달</t>
    </r>
  </si>
  <si>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 결제 단가 미확인이라 정산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아직 아님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충전 가격표 확보 후 확정 필요</t>
    </r>
  </si>
  <si>
    <t xml:space="preserve">공통</t>
  </si>
  <si>
    <r>
      <rPr>
        <sz val="10"/>
        <rFont val="WenQuanYi Zen Hei"/>
        <family val="2"/>
      </rPr>
      <t xml:space="preserve">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선물 정산율은 이미 </t>
    </r>
    <r>
      <rPr>
        <sz val="10"/>
        <rFont val="맑은 고딕"/>
        <family val="0"/>
        <charset val="1"/>
      </rPr>
      <t xml:space="preserve">90%</t>
    </r>
    <r>
      <rPr>
        <sz val="10"/>
        <rFont val="WenQuanYi Zen Hei"/>
        <family val="2"/>
      </rPr>
      <t xml:space="preserve">대가 경쟁 기준선이다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</si>
  <si>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90~97%, </t>
    </r>
    <r>
      <rPr>
        <sz val="10"/>
        <rFont val="WenQuanYi Zen Hei"/>
        <family val="2"/>
      </rPr>
      <t xml:space="preserve">케이브덕 공식 </t>
    </r>
    <r>
      <rPr>
        <sz val="10"/>
        <rFont val="맑은 고딕"/>
        <family val="0"/>
        <charset val="1"/>
      </rPr>
      <t xml:space="preserve">90%(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80%),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70~90%</t>
    </r>
  </si>
  <si>
    <r>
      <rPr>
        <sz val="10"/>
        <rFont val="WenQuanYi Zen Hei"/>
        <family val="2"/>
      </rPr>
      <t xml:space="preserve">후원 정산율로는 차별화 여지가 거의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차별화는 채팅 정산 쪽에서 만들어야 함</t>
    </r>
  </si>
  <si>
    <t xml:space="preserve">유니챗만 정산률을 기간으로 확약했다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</si>
  <si>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곳은 대부분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사전 고지 없이 변경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운영 사정에 따라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외부 요인에 따라 조정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명시</t>
    </r>
  </si>
  <si>
    <r>
      <rPr>
        <sz val="10"/>
        <rFont val="WenQuanYi Zen Hei"/>
        <family val="2"/>
      </rPr>
      <t xml:space="preserve">요율 크기만큼이나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얼마나 유지되는가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크리에이터의 이주 결정을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기간 확약을 내걸면 요율을 크게 올리지 않고도 차별화 가능 — 확약은 비용이 낮고 신뢰 효과는 큼</t>
    </r>
  </si>
  <si>
    <t xml:space="preserve">유니챗은 초기 제작자에게만 조건을 열어두고 창구를 닫았다</t>
  </si>
  <si>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제작자만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신규 정산률 및 운영 정책은 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미정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이미 마감된 상태</t>
    </r>
  </si>
  <si>
    <r>
      <rPr>
        <sz val="10"/>
        <rFont val="WenQuanYi Zen Hei"/>
        <family val="2"/>
      </rPr>
      <t xml:space="preserve">초기 크리에이터를 조건으로 묶어 선점하는 전략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크플도 초기 코호트에 한정한 확약을 쓸 수 있으나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진입자에게 조건을 밝히지 않으면 유입이 막힘 — 유니챗이 지금 그 상태</t>
    </r>
  </si>
  <si>
    <t xml:space="preserve">팅글이 일반 크리에이터 기준 표기 요율 최고치다</t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</si>
  <si>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애셋의 유료 대화 수익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다음이 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</t>
    </r>
  </si>
  <si>
    <r>
      <rPr>
        <sz val="10"/>
        <rFont val="WenQuanYi Zen Hei"/>
        <family val="2"/>
      </rPr>
      <t xml:space="preserve">단 마일리지 → 리워드 전환 비율이 미공개라 플레이툰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베이비챗형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가능성이 남아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전까지는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 최고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로만 취급할 것</t>
    </r>
  </si>
  <si>
    <t xml:space="preserve">팅글은 환불 리스크를 크리에이터에게 전가한다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</si>
  <si>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특정 유저가 유료 재화 환불을 진행할 경우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해당 환불 건으로 인해 분배되었던 정산 수익이 감소할 수 있습니다</t>
    </r>
    <r>
      <rPr>
        <sz val="10"/>
        <rFont val="맑은 고딕"/>
        <family val="0"/>
        <charset val="1"/>
      </rPr>
      <t xml:space="preserve">' — 17</t>
    </r>
    <r>
      <rPr>
        <sz val="10"/>
        <rFont val="WenQuanYi Zen Hei"/>
        <family val="2"/>
      </rPr>
      <t xml:space="preserve">곳 중 환불 연동을 명시한 유일한 사례</t>
    </r>
  </si>
  <si>
    <r>
      <rPr>
        <sz val="10"/>
        <rFont val="WenQuanYi Zen Hei"/>
        <family val="2"/>
      </rPr>
      <t xml:space="preserve">실무적으로는 합리적이나 크리에이터 입장에서는 통제 불가능한 변수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같은 정책을 쓴다면 최소한 감소 내역을 투명하게 보여주는 장치가 필요</t>
    </r>
  </si>
  <si>
    <t xml:space="preserve">정산 지연 폭이 플랫폼마다 크게 다르다</t>
  </si>
  <si>
    <r>
      <rPr>
        <sz val="10"/>
        <rFont val="WenQuanYi Zen Hei"/>
        <family val="2"/>
      </rPr>
      <t xml:space="preserve">팅글은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출금 가능 — 조사 대상 중 가장 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티팟 익월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둠칫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 위프 정산은 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</t>
    </r>
  </si>
  <si>
    <r>
      <rPr>
        <sz val="10"/>
        <rFont val="WenQuanYi Zen Hei"/>
        <family val="2"/>
      </rPr>
      <t xml:space="preserve">첫 수익까지의 체감 거리가 이주 결정에 직접 작용함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요율이 같다면 지급이 빠른 쪽이 이김 — 크플이 손쉽게 우위를 만들 수 있는 지점</t>
    </r>
  </si>
  <si>
    <r>
      <rPr>
        <sz val="10"/>
        <rFont val="WenQuanYi Zen Hei"/>
        <family val="2"/>
      </rPr>
      <t xml:space="preserve">일반 크리에이터 요율의 상단이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수렴한다</t>
    </r>
  </si>
  <si>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20% 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티어 </t>
    </r>
    <r>
      <rPr>
        <sz val="10"/>
        <rFont val="맑은 고딕"/>
        <family val="0"/>
        <charset val="1"/>
      </rPr>
      <t xml:space="preserve">3~15% · </t>
    </r>
    <r>
      <rPr>
        <sz val="10"/>
        <rFont val="WenQuanYi Zen Hei"/>
        <family val="2"/>
      </rPr>
      <t xml:space="preserve">플레이툰 표기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3%) · </t>
    </r>
    <r>
      <rPr>
        <sz val="10"/>
        <rFont val="WenQuanYi Zen Hei"/>
        <family val="2"/>
      </rPr>
      <t xml:space="preserve">베이비챗 표기 </t>
    </r>
    <r>
      <rPr>
        <sz val="10"/>
        <rFont val="맑은 고딕"/>
        <family val="0"/>
        <charset val="1"/>
      </rPr>
      <t xml:space="preserve">10~13%(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1~1.3%)</t>
    </r>
  </si>
  <si>
    <r>
      <rPr>
        <sz val="10"/>
        <rFont val="WenQuanYi Zen Hei"/>
        <family val="2"/>
      </rPr>
      <t xml:space="preserve">표기 기준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가 사실상 시장 상단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일반 요율로 경쟁하려면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넘거나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 단계를 없애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만드는 두 갈래 중 하나를 택해야 함</t>
    </r>
  </si>
  <si>
    <t xml:space="preserve">티팟이 전속 프리미엄을 가장 명확하게 제시한다</t>
  </si>
  <si>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캐릭터에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리프는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=1</t>
    </r>
    <r>
      <rPr>
        <sz val="10"/>
        <rFont val="WenQuanYi Zen Hei"/>
        <family val="2"/>
      </rPr>
      <t xml:space="preserve">원이라 유저 결제액 대비 비율이 바로 나옴</t>
    </r>
  </si>
  <si>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내걸 때 직접 비교당할 기준선</t>
    </r>
    <r>
      <rPr>
        <sz val="10"/>
        <rFont val="맑은 고딕"/>
        <family val="0"/>
        <charset val="1"/>
      </rPr>
      <t xml:space="preserve">. 12%(</t>
    </r>
    <r>
      <rPr>
        <sz val="10"/>
        <rFont val="WenQuanYi Zen Hei"/>
        <family val="2"/>
      </rPr>
      <t xml:space="preserve">현금 수령 시 </t>
    </r>
    <r>
      <rPr>
        <sz val="10"/>
        <rFont val="맑은 고딕"/>
        <family val="0"/>
        <charset val="1"/>
      </rPr>
      <t xml:space="preserve">10.26%)</t>
    </r>
    <r>
      <rPr>
        <sz val="10"/>
        <rFont val="WenQuanYi Zen Hei"/>
        <family val="2"/>
      </rPr>
      <t xml:space="preserve">를 넘기지 못하면 티팟 대비 소구력이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넘기면 즉시 비교 우위가 성립</t>
    </r>
  </si>
  <si>
    <t xml:space="preserve">티팟의 캐릭터별 독점 전환이 가장 유연한 독점 설계다</t>
  </si>
  <si>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활동 자유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유지하면서 특정 인기 캐릭터만 골라 독점 </t>
    </r>
    <r>
      <rPr>
        <sz val="10"/>
        <rFont val="맑은 고딕"/>
        <family val="0"/>
        <charset val="1"/>
      </rPr>
      <t xml:space="preserve">12%</t>
    </r>
    <r>
      <rPr>
        <sz val="10"/>
        <rFont val="WenQuanYi Zen Hei"/>
        <family val="2"/>
      </rPr>
      <t xml:space="preserve">로 전환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캐릭터만 경쟁 서비스 신규 등록이 막힘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전체 독점은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갱신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자유는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갱신</t>
    </r>
  </si>
  <si>
    <r>
      <rPr>
        <sz val="10"/>
        <rFont val="WenQuanYi Zen Hei"/>
        <family val="2"/>
      </rPr>
      <t xml:space="preserve">크리에이터가 리스크를 스스로 조절할 수 있는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진입 저항도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 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락인 부재도 피함 — 크플이 그대로 참고할 만한 설계</t>
    </r>
  </si>
  <si>
    <t xml:space="preserve">티팟은 위반 시 환수 조항이 아예 없다</t>
  </si>
  <si>
    <r>
      <rPr>
        <sz val="10"/>
        <rFont val="WenQuanYi Zen Hei"/>
        <family val="2"/>
      </rPr>
      <t xml:space="preserve">계약을 해지해도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불이익은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비공개 전환 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그 캐릭터의 현금 정산 제한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정도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</si>
  <si>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 극단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없이도 제도가 운영된다는 실례이며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환수 조항을 뺄 근거가 됨</t>
    </r>
  </si>
  <si>
    <r>
      <rPr>
        <sz val="10"/>
        <rFont val="WenQuanYi Zen Hei"/>
        <family val="2"/>
      </rPr>
      <t xml:space="preserve">티팟은 플랫폼 재화로 받으면 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현금으로 받을 때만 공제한다</t>
    </r>
  </si>
  <si>
    <r>
      <rPr>
        <sz val="10"/>
        <rFont val="WenQuanYi Zen Hei"/>
        <family val="2"/>
      </rPr>
      <t xml:space="preserve">인센티브 → 리프는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약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공제 </t>
    </r>
    <r>
      <rPr>
        <sz val="10"/>
        <rFont val="맑은 고딕"/>
        <family val="0"/>
        <charset val="1"/>
      </rPr>
      <t xml:space="preserve">14.47%)</t>
    </r>
    <r>
      <rPr>
        <sz val="10"/>
        <rFont val="WenQuanYi Zen Hei"/>
        <family val="2"/>
      </rPr>
      <t xml:space="preserve">이며 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</si>
  <si>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감액과 반대 방향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플랫폼 재화를 쓰게 유도하되 현금 경로를 막지 않고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감액분을 숨기지도 않음 — 신뢰 설계의 참고 사례</t>
    </r>
  </si>
  <si>
    <t xml:space="preserve">둠칫이 정보 공개 수준에서 가장 앞선다</t>
  </si>
  <si>
    <r>
      <rPr>
        <sz val="10"/>
        <rFont val="WenQuanYi Zen Hei"/>
        <family val="2"/>
      </rPr>
      <t xml:space="preserve">정산 대상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내 월드에서 사용한 쿠키 총액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'), </t>
    </r>
    <r>
      <rPr>
        <sz val="10"/>
        <rFont val="WenQuanYi Zen Hei"/>
        <family val="2"/>
      </rPr>
      <t xml:space="preserve">티어별 비율</t>
    </r>
    <r>
      <rPr>
        <sz val="10"/>
        <rFont val="맑은 고딕"/>
        <family val="0"/>
        <charset val="1"/>
      </rPr>
      <t xml:space="preserve">(3~15%), </t>
    </r>
    <r>
      <rPr>
        <sz val="10"/>
        <rFont val="WenQuanYi Zen Hei"/>
        <family val="2"/>
      </rPr>
      <t xml:space="preserve">가산 구조</t>
    </r>
    <r>
      <rPr>
        <sz val="10"/>
        <rFont val="맑은 고딕"/>
        <family val="0"/>
        <charset val="1"/>
      </rPr>
      <t xml:space="preserve">(+2/+3/+5%), </t>
    </r>
    <r>
      <rPr>
        <sz val="10"/>
        <rFont val="WenQuanYi Zen Hei"/>
        <family val="2"/>
      </rPr>
      <t xml:space="preserve">현금 환산율</t>
    </r>
    <r>
      <rPr>
        <sz val="10"/>
        <rFont val="맑은 고딕"/>
        <family val="0"/>
        <charset val="1"/>
      </rPr>
      <t xml:space="preserve">(1,000,000P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최소 출금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신청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시점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해제 사유별 처리까지 전부 문서화</t>
    </r>
  </si>
  <si>
    <r>
      <rPr>
        <sz val="10"/>
        <rFont val="WenQuanYi Zen Hei"/>
        <family val="2"/>
      </rPr>
      <t xml:space="preserve">경쟁사 중 유일하게 크리에이터가 자기 수입을 스스로 계산할 수 있는 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공개 기준선을 여기에 맞추면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 중 최상위권</t>
    </r>
  </si>
  <si>
    <t xml:space="preserve">둠칫은 독점과 공식 크리에이터를 분리해 설계했다</t>
  </si>
  <si>
    <r>
      <rPr>
        <sz val="10"/>
        <rFont val="WenQuanYi Zen Hei"/>
        <family val="2"/>
      </rPr>
      <t xml:space="preserve">공식 크리에이터</t>
    </r>
    <r>
      <rPr>
        <sz val="10"/>
        <rFont val="맑은 고딕"/>
        <family val="0"/>
        <charset val="1"/>
      </rPr>
      <t xml:space="preserve">(+2%, 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에는 독점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월드 단위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, +3%)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, +5%)</t>
    </r>
    <r>
      <rPr>
        <sz val="10"/>
        <rFont val="WenQuanYi Zen Hei"/>
        <family val="2"/>
      </rPr>
      <t xml:space="preserve">로 분리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가산이 겹쳐 쌓이는 구조</t>
    </r>
  </si>
  <si>
    <r>
      <rPr>
        <sz val="10"/>
        <rFont val="WenQuanYi Zen Hei"/>
        <family val="2"/>
      </rPr>
      <t xml:space="preserve">크리에이터는 독점 없이도 공식이 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작품 단위로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전속 요구의 진입 저항을 없애면서 독점을 별도로 사는 방식 — 젠잇의 작품 단위 모델과 함께 크플이 검토할 만한 설계</t>
    </r>
  </si>
  <si>
    <t xml:space="preserve">둠칫만 상대평가 티어를 쓰고 강등이 실제로 작동한다</t>
  </si>
  <si>
    <r>
      <rPr>
        <sz val="10"/>
        <rFont val="WenQuanYi Zen Hei"/>
        <family val="2"/>
      </rPr>
      <t xml:space="preserve">시즌 유료 턴 수 기준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승급 조건을 정하고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이상이 모집단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</t>
    </r>
  </si>
  <si>
    <r>
      <rPr>
        <sz val="10"/>
        <rFont val="WenQuanYi Zen Hei"/>
        <family val="2"/>
      </rPr>
      <t xml:space="preserve">경쟁을 상시화해 활동을 유도하지만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남이 잘하면 내가 강등되는 구조라 상위 크리에이터의 이탈 압력도 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절대 기준을 쓰면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한 번 오르면 지켜진다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안정성으로 차별화 가능</t>
    </r>
  </si>
  <si>
    <t xml:space="preserve">환수 조항의 절제 수준에서 둠칫이 가장 앞선다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</si>
  <si>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환수하고 기본 인센티브는 건드리지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케이브덕은 전속 기간 내 적립 인센티브를 전액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한정하되 소명 기회 부여</t>
    </r>
  </si>
  <si>
    <r>
      <rPr>
        <sz val="10"/>
        <rFont val="WenQuanYi Zen Hei"/>
        <family val="2"/>
      </rPr>
      <t xml:space="preserve">환수 범위를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위반으로 얻은 초과분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한정하는 것이 합리적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환수를 둔다면 이 형태가 진입 저항이 가장 낮음</t>
    </r>
  </si>
  <si>
    <t xml:space="preserve">둠칫 오리지널은 저작권을 사들이는 유일한 사례다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</si>
  <si>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구매한 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작가와 조율 과정을 거쳐 오리지널 작품으로 공개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대가는 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+5%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</si>
  <si>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독점 대여가 아니라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매입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크리에이터에게는 되돌릴 수 없는 결정이므로 계약금 수준이 관건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IP</t>
    </r>
    <r>
      <rPr>
        <sz val="10"/>
        <rFont val="WenQuanYi Zen Hei"/>
        <family val="2"/>
      </rPr>
      <t xml:space="preserve">를 확보하려 한다면 참고할 유일한 선례이나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저항이 가장 큰 방식이기도 함</t>
    </r>
  </si>
  <si>
    <t xml:space="preserve">위프는 배수만 공개하고 기준 요율을 숨긴다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</si>
  <si>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대상 채팅 수익의 일정 비율 정산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이라 기준값이 비공개인데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배라는 배수는 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크리에이터는 등급을 올릴 동기는 갖지만 실제 얼마를 받을지는 알 수 없음</t>
    </r>
  </si>
  <si>
    <r>
      <rPr>
        <sz val="10"/>
        <rFont val="WenQuanYi Zen Hei"/>
        <family val="2"/>
      </rPr>
      <t xml:space="preserve">공개의 외형만 갖춘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공개할 때는 기준값과 모수를 함께 밝혀야 실제 차별화가 됨 — 배수만 밝히는 것은 정보가 아님</t>
    </r>
  </si>
  <si>
    <t xml:space="preserve">현금화 게이트가 정산율만큼 중요한 축이다</t>
  </si>
  <si>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 현금화를 막거나 등급 뒤에 둠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경로 자체 없음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기프티콘만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후만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특히 위프는 루키 시절 적립분을 승급 후에도 현금화 못 하게 함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</si>
  <si>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보다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언제부터 현금을 받을 수 있는가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신인 크리에이터의 체감을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지급까지의 거리를 짧게 만들면 그 자체로 강한 소구점</t>
    </r>
  </si>
  <si>
    <t xml:space="preserve">위프는 요율뿐 아니라 정산 대상 범위까지 등급으로 차등한다</t>
  </si>
  <si>
    <r>
      <rPr>
        <sz val="10"/>
        <rFont val="WenQuanYi Zen Hei"/>
        <family val="2"/>
      </rPr>
      <t xml:space="preserve">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루키는 요율도 낮고 정산되는 작품 수도 적음</t>
    </r>
  </si>
  <si>
    <r>
      <rPr>
        <sz val="10"/>
        <rFont val="WenQuanYi Zen Hei"/>
        <family val="2"/>
      </rPr>
      <t xml:space="preserve">이중 페널티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신인일수록 불리해지는 설계이며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반대로 가면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 정산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낮은 진입 문턱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신인 풀에서 명확한 대비가 생김</t>
    </r>
  </si>
  <si>
    <t xml:space="preserve">경쟁이 프로모션 국면에 들어가 있다</t>
  </si>
  <si>
    <r>
      <rPr>
        <sz val="10"/>
        <rFont val="WenQuanYi Zen Hei"/>
        <family val="2"/>
      </rPr>
      <t xml:space="preserve">챗플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이벤트 진행 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젠잇 채팅수 지원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챌린지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 종료 예정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 타이틀 선물 </t>
    </r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케이브덕 웰컴 보상</t>
    </r>
  </si>
  <si>
    <r>
      <rPr>
        <sz val="10"/>
        <rFont val="WenQuanYi Zen Hei"/>
        <family val="2"/>
      </rPr>
      <t xml:space="preserve">현재 관측되는 정산 수준의 상당 부분이 한시적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경쟁사 수치를 기준선으로 삼을 때 프로모션분을 걷어내고 봐야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크플도 초기 프로모션으로 단기 유치는 가능하나 종료 시점의 이탈을 설계에 넣어야 함</t>
    </r>
  </si>
  <si>
    <t xml:space="preserve">챗플 이벤트 단가는 일반 크리에이터 기준으로 상위권이다</t>
  </si>
  <si>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(2.4~12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(4.2~21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(0.75~6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같은 단위로 비교 가능</t>
    </r>
  </si>
  <si>
    <r>
      <rPr>
        <sz val="10"/>
        <rFont val="WenQuanYi Zen Hei"/>
        <family val="2"/>
      </rPr>
      <t xml:space="preserve">일반 크리에이터를 겨냥한 단가 경쟁의 현재 수준이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이벤트라 상시 기준선으로 쓰면 안 됨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</si>
  <si>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구조로 표기 요율을 부풀리는 곳이 최소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</si>
  <si>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교환가치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10:1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1.0~2.3% / </t>
    </r>
    <r>
      <rPr>
        <sz val="10"/>
        <rFont val="WenQuanYi Zen Hei"/>
        <family val="2"/>
      </rPr>
      <t xml:space="preserve">젠잇 그 외 모델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가치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</si>
  <si>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크리에이터가 표기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만 보고 판단할 수 없는 시장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단일 단위로 표기하고 감액 단계를 두지 않으면 그 자체가 신뢰 자산이 됨</t>
    </r>
  </si>
  <si>
    <t xml:space="preserve">플레이툰은 감액률을 스스로 공개한 유일한 사례다</t>
  </si>
  <si>
    <r>
      <rPr>
        <sz val="10"/>
        <rFont val="WenQuanYi Zen Hei"/>
        <family val="2"/>
      </rPr>
      <t xml:space="preserve">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블루젬은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구조인 베이비챗은 전환 비율만 적고 실질 수치는 밝히지 않음</t>
    </r>
  </si>
  <si>
    <r>
      <rPr>
        <sz val="10"/>
        <rFont val="WenQuanYi Zen Hei"/>
        <family val="2"/>
      </rPr>
      <t xml:space="preserve">불리한 숫자를 먼저 밝히는 것이 오히려 신뢰를 만든다는 참고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감액 요소를 둘 수밖에 없다면 최소한 이 수준의 투명성은 확보할 것</t>
    </r>
  </si>
  <si>
    <t xml:space="preserve">플레이툰은 인증 제도가 정산 측면에서 무의미하다</t>
  </si>
  <si>
    <r>
      <rPr>
        <sz val="10"/>
        <rFont val="WenQuanYi Zen Hei"/>
        <family val="2"/>
      </rPr>
      <t xml:space="preserve">크리에이터 인증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</si>
  <si>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등급을 만들되 보상 차이를 두지 않으면 제도가 작동하지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등급제를 도입한다면 등급 간 실질 차이를 명확히 둘 것</t>
    </r>
  </si>
  <si>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독점을 건다</t>
    </r>
  </si>
  <si>
    <r>
      <rPr>
        <sz val="10"/>
        <rFont val="WenQuanYi Zen Hei"/>
        <family val="2"/>
      </rPr>
      <t xml:space="preserve">퍼블리싱 프로그램은 작품 단위 계약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크리에이터의 타 플랫폼 활동은 금지하지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우대 조건으로만 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  <r>
      <rPr>
        <sz val="10"/>
        <rFont val="WenQuanYi Zen Hei"/>
        <family val="2"/>
      </rPr>
      <t xml:space="preserve">로 성과에 따라 정산율을 올려주는 단계형 투자 구조</t>
    </r>
  </si>
  <si>
    <r>
      <rPr>
        <sz val="10"/>
        <rFont val="WenQuanYi Zen Hei"/>
        <family val="2"/>
      </rPr>
      <t xml:space="preserve">전속 계약의 대안 모델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전체를 묶지 않으니 진입 저항이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잘되는 작품에만 자원을 집중할 수 있어 플랫폼 리스크도 작음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검토할 가치가 큼</t>
    </r>
  </si>
  <si>
    <r>
      <rPr>
        <sz val="10"/>
        <rFont val="WenQuanYi Zen Hei"/>
        <family val="2"/>
      </rPr>
      <t xml:space="preserve">젠잇은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 작품을 내려서 독점을 맞추는 것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명시적으로 거부한다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</si>
  <si>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서비스를 사랑해주시는 분들이 계시기 때문에 타 서비스 작품을 비공개 혹은 삭제하는 형태는 대상으로 인정되지 않는다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공지에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처음부터 젠잇에서만 공개된 작품만 인정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</si>
  <si>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비공개하면 오리지널 등록 가능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전환 시 타 플랫폼에 중단 공지 게시 의무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신뢰를 정산 정책보다 앞에 둔 사례 — 크플의 독점 정책이 기존 팬층에 어떻게 보일지 판단할 때 참고할 것</t>
    </r>
  </si>
  <si>
    <t xml:space="preserve">젠잇은 지급 수단을 모델별로 갈라 자사 모델 사용을 유도한다</t>
  </si>
  <si>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+·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사용분은 현금 </t>
    </r>
    <r>
      <rPr>
        <sz val="10"/>
        <rFont val="맑은 고딕"/>
        <family val="0"/>
        <charset val="1"/>
      </rPr>
      <t xml:space="preserve">5~50%, </t>
    </r>
    <r>
      <rPr>
        <sz val="10"/>
        <rFont val="WenQuanYi Zen Hei"/>
        <family val="2"/>
      </rPr>
      <t xml:space="preserve">그 외 모델 사용분은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지급</t>
    </r>
  </si>
  <si>
    <r>
      <rPr>
        <sz val="10"/>
        <rFont val="WenQuanYi Zen Hei"/>
        <family val="2"/>
      </rPr>
      <t xml:space="preserve">원가가 낮은 자사 모델로 트래픽을 유도하면서 크리에이터 인센티브를 정렬시킨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자체 모델을 운영한다면 그대로 쓸 수 있는 패턴</t>
    </r>
  </si>
  <si>
    <r>
      <rPr>
        <sz val="10"/>
        <rFont val="WenQuanYi Zen Hei"/>
        <family val="2"/>
      </rPr>
      <t xml:space="preserve">같은 플랫폼 안에서도 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모델에 따라 수령액이 수십 배 벌어진다</t>
    </r>
  </si>
  <si>
    <r>
      <rPr>
        <sz val="10"/>
        <rFont val="WenQuanYi Zen Hei"/>
        <family val="2"/>
      </rPr>
      <t xml:space="preserve">젠잇 기준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공개작 코어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↔ 집중 퍼블리싱 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(53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케이브덕도 </t>
    </r>
    <r>
      <rPr>
        <sz val="10"/>
        <rFont val="맑은 고딕"/>
        <family val="0"/>
        <charset val="1"/>
      </rPr>
      <t xml:space="preserve">Breeze 0.6</t>
    </r>
    <r>
      <rPr>
        <sz val="10"/>
        <rFont val="WenQuanYi Zen Hei"/>
        <family val="2"/>
      </rPr>
      <t xml:space="preserve">원 ↔ 공식 </t>
    </r>
    <r>
      <rPr>
        <sz val="10"/>
        <rFont val="맑은 고딕"/>
        <family val="0"/>
        <charset val="1"/>
      </rPr>
      <t xml:space="preserve">Opus 13.2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</si>
  <si>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우리 정산율은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라는 단일 숫자로는 크리에이터가 자기 수입을 가늠할 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대표 시나리오별 예상 수령액을 함께 제시하는 편이 신뢰를 얻기 쉬움</t>
    </r>
  </si>
  <si>
    <t xml:space="preserve">엘린만 모수를 명시한 정률을 공개하고 있다</t>
  </si>
  <si>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3%/8%', </t>
    </r>
    <r>
      <rPr>
        <sz val="10"/>
        <rFont val="WenQuanYi Zen Hei"/>
        <family val="2"/>
      </rPr>
      <t xml:space="preserve">젠잇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금액의 </t>
    </r>
    <r>
      <rPr>
        <sz val="10"/>
        <rFont val="맑은 고딕"/>
        <family val="0"/>
        <charset val="1"/>
      </rPr>
      <t xml:space="preserve">5~50%'. </t>
    </r>
    <r>
      <rPr>
        <sz val="10"/>
        <rFont val="WenQuanYi Zen Hei"/>
        <family val="2"/>
      </rPr>
      <t xml:space="preserve">다른 곳은 정액제라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), %</t>
    </r>
    <r>
      <rPr>
        <sz val="10"/>
        <rFont val="WenQuanYi Zen Hei"/>
        <family val="2"/>
      </rPr>
      <t xml:space="preserve">는 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응원하기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후원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선물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</si>
  <si>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모수까지 밝힌 요율 공개가 시장에서 이미 한 곳은 하고 있음 — 크플이 같은 방식을 쓰면 엘린과 직접 비교 가능해지므로</t>
    </r>
    <r>
      <rPr>
        <sz val="10"/>
        <rFont val="맑은 고딕"/>
        <family val="0"/>
        <charset val="1"/>
      </rPr>
      <t xml:space="preserve">, 8%</t>
    </r>
    <r>
      <rPr>
        <sz val="10"/>
        <rFont val="WenQuanYi Zen Hei"/>
        <family val="2"/>
      </rPr>
      <t xml:space="preserve">를 넘길지 여부가 곧 소구력이 됨</t>
    </r>
  </si>
  <si>
    <t xml:space="preserve">엘린의 문턱은 매우 낮은데 요율은 낮지 않다</t>
  </si>
  <si>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본인인증으로 </t>
    </r>
    <r>
      <rPr>
        <sz val="10"/>
        <rFont val="맑은 고딕"/>
        <family val="0"/>
        <charset val="1"/>
      </rPr>
      <t xml:space="preserve">8%. </t>
    </r>
    <r>
      <rPr>
        <sz val="10"/>
        <rFont val="WenQuanYi Zen Hei"/>
        <family val="2"/>
      </rPr>
      <t xml:space="preserve">베이비챗은 채팅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이어야 베리 </t>
    </r>
    <r>
      <rPr>
        <sz val="10"/>
        <rFont val="맑은 고딕"/>
        <family val="0"/>
        <charset val="1"/>
      </rPr>
      <t xml:space="preserve">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1.3%)</t>
    </r>
  </si>
  <si>
    <r>
      <rPr>
        <sz val="10"/>
        <rFont val="WenQuanYi Zen Hei"/>
        <family val="2"/>
      </rPr>
      <t xml:space="preserve">진입 문턱과 요율의 조합에서 엘린이 신인 크리에이터에게 가장 유리한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신인 풀을 노린다면 여기가 직접 경쟁 상대</t>
    </r>
  </si>
  <si>
    <r>
      <rPr>
        <sz val="10"/>
        <rFont val="WenQuanYi Zen Hei"/>
        <family val="2"/>
      </rPr>
      <t xml:space="preserve">정산 비율을 알 수 없거나 반쪽만 공개한 곳이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</si>
  <si>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페이브챗은 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제작자는 수익 배분 알고리즘 등 비공개 정보를 기밀로 유지해야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에덴챗은 요율표 없이 제작자별 맞춤형 개별 협의</t>
    </r>
    <r>
      <rPr>
        <sz val="10"/>
        <rFont val="맑은 고딕"/>
        <family val="0"/>
        <charset val="1"/>
      </rPr>
      <t xml:space="preserve">. 7</t>
    </r>
    <r>
      <rPr>
        <sz val="10"/>
        <rFont val="WenQuanYi Zen Hei"/>
        <family val="2"/>
      </rPr>
      <t xml:space="preserve">곳 중 모수까지 밝힌 곳은 엘린 하나뿐</t>
    </r>
  </si>
  <si>
    <r>
      <rPr>
        <sz val="10"/>
        <rFont val="WenQuanYi Zen Hei"/>
        <family val="2"/>
      </rPr>
      <t xml:space="preserve">크리에이터가 플랫폼 간 조건을 비교할 수 없게 만드는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비교 가능한 유일한 곳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포지션을 얻음 — 이건 정산율 크기와 별개의 신뢰 자산</t>
    </r>
  </si>
  <si>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있다</t>
    </r>
  </si>
  <si>
    <r>
      <rPr>
        <sz val="10"/>
        <rFont val="WenQuanYi Zen Hei"/>
        <family val="2"/>
      </rPr>
      <t xml:space="preserve">베이비챗은 베리에 현금 경로 자체가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일반 유저는 포인트 적립만 가능하고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전환 후에만 현금 인출</t>
    </r>
  </si>
  <si>
    <r>
      <rPr>
        <sz val="10"/>
        <rFont val="WenQuanYi Zen Hei"/>
        <family val="2"/>
      </rPr>
      <t xml:space="preserve">진입 단계 크리에이터는 사실상 무보수로 활동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정산 문턱을 낮추면 신인 유입에서 직접적 우위</t>
    </r>
  </si>
  <si>
    <t xml:space="preserve">에덴챗은 조건 없이 지원만 주는 극단값이다</t>
  </si>
  <si>
    <r>
      <rPr>
        <sz val="10"/>
        <rFont val="WenQuanYi Zen Hei"/>
        <family val="2"/>
      </rPr>
      <t xml:space="preserve">채팅 무료 </t>
    </r>
    <r>
      <rPr>
        <sz val="10"/>
        <rFont val="맑은 고딕"/>
        <family val="0"/>
        <charset val="1"/>
      </rPr>
      <t xml:space="preserve">+ NovelAI·</t>
    </r>
    <r>
      <rPr>
        <sz val="10"/>
        <rFont val="WenQuanYi Zen Hei"/>
        <family val="2"/>
      </rPr>
      <t xml:space="preserve">포토샵 등 구독 지원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제작자별 맞춤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그러면서 제약이 확인되지 않음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</si>
  <si>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단기적으로 크리에이터에게 가장 매력적이지만 재원이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조건 경쟁으로 맞붙기보다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지속 가능한 정산 구조를 명시하는 쪽이 중장기 신뢰에서 유리할 수 있음</t>
    </r>
  </si>
  <si>
    <t xml:space="preserve">환수 조항의 절제 수준이 갈린다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</si>
  <si>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전속 위반 시 기간 내 적립 인센티브 전액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: 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침해 콘텐츠와 직접 연관된 수익만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</si>
  <si>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r>
      <rPr>
        <sz val="10"/>
        <rFont val="WenQuanYi Zen Hei"/>
        <family val="2"/>
      </rPr>
      <t xml:space="preserve">페이브챗 쪽이 크리에이터 보호 장치가 명확함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 조항을 둔다면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소명 절차를 명시하는 것이 진입 저항을 낮춤</t>
    </r>
  </si>
  <si>
    <t xml:space="preserve">독점 강제 방식이 플랫폼마다 다르다</t>
  </si>
  <si>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그냥 내리면 됨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 공식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신규작 영구 독점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적립금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 플랫폼에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중단 공지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게시 의무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계약으로 전면 금지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요구 없음</t>
    </r>
  </si>
  <si>
    <r>
      <rPr>
        <sz val="10"/>
        <rFont val="WenQuanYi Zen Hei"/>
        <family val="2"/>
      </rPr>
      <t xml:space="preserve">베이비챗 방식이 가장 공격적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경쟁 플랫폼 유저에게 이탈을 광고하게 만듦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크플의 독점 요구 강도를 어디에 둘지 판단 필요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</si>
</sst>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"/>
    <numFmt numFmtId="166" formatCode="#,##0.0\원;;\-"/>
    <numFmt numFmtId="167" formatCode="0.0%;;\-"/>
    <numFmt numFmtId="168" formatCode="0%"/>
    <numFmt numFmtId="169" formatCode="#,##0&quot;제니&quot;"/>
    <numFmt numFmtId="170" formatCode="#,##0.0\원"/>
    <numFmt numFmtId="171" formatCode="#,##0"/>
    <numFmt numFmtId="172" formatCode="#,##0.00\원"/>
    <numFmt numFmtId="173" formatCode="0.0%"/>
    <numFmt numFmtId="174" formatCode="0.00%"/>
    <numFmt numFmtId="175" formatCode="0"/>
    <numFmt numFmtId="176" formatCode="#,##0;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4"/>
      <name val="맑은 고딕"/>
      <family val="0"/>
      <charset val="1"/>
    </font>
    <font>
      <sz val="10"/>
      <color rgb="FF0000FF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sz val="11"/>
      <color theme="1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2F4B7C"/>
        <bgColor rgb="FF595959"/>
      </patternFill>
    </fill>
    <fill>
      <patternFill patternType="solid">
        <fgColor rgb="FFD9E1F2"/>
        <bgColor rgb="FFFCE4E4"/>
      </patternFill>
    </fill>
    <fill>
      <patternFill patternType="solid">
        <fgColor rgb="FFFCE4E4"/>
        <bgColor rgb="FFFFF2CC"/>
      </patternFill>
    </fill>
    <fill>
      <patternFill patternType="solid">
        <fgColor rgb="FFFFF2CC"/>
        <bgColor rgb="FFFCE4E4"/>
      </patternFill>
    </fill>
    <fill>
      <patternFill patternType="solid">
        <fgColor rgb="FF7A5195"/>
        <bgColor rgb="FF59595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7A5195"/>
      <rgbColor rgb="FF969696"/>
      <rgbColor rgb="FF003366"/>
      <rgbColor rgb="FF339966"/>
      <rgbColor rgb="FF003300"/>
      <rgbColor rgb="FF333300"/>
      <rgbColor rgb="FF993300"/>
      <rgbColor rgb="FF993366"/>
      <rgbColor rgb="FF2F4B7C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7"/>
    <col collapsed="false" customWidth="true" hidden="false" outlineLevel="0" max="4" min="4" style="0" width="29"/>
    <col collapsed="false" customWidth="true" hidden="false" outlineLevel="0" max="5" min="5" style="0" width="33"/>
    <col collapsed="false" customWidth="true" hidden="false" outlineLevel="0" max="6" min="6" style="0" width="25"/>
    <col collapsed="false" customWidth="true" hidden="false" outlineLevel="0" max="7" min="7" style="0" width="29"/>
    <col collapsed="false" customWidth="true" hidden="false" outlineLevel="0" max="8" min="8" style="0" width="25"/>
    <col collapsed="false" customWidth="true" hidden="false" outlineLevel="0" max="9" min="9" style="0" width="36"/>
    <col collapsed="false" customWidth="true" hidden="false" outlineLevel="0" max="10" min="10" style="0" width="23"/>
    <col collapsed="false" customWidth="true" hidden="false" outlineLevel="0" max="11" min="11" style="0" width="25"/>
    <col collapsed="false" customWidth="true" hidden="false" outlineLevel="0" max="12" min="12" style="0" width="30"/>
    <col collapsed="false" customWidth="true" hidden="false" outlineLevel="0" max="13" min="13" style="0" width="40"/>
    <col collapsed="false" customWidth="true" hidden="false" outlineLevel="0" max="14" min="14" style="0" width="39"/>
    <col collapsed="false" customWidth="true" hidden="false" outlineLevel="0" max="15" min="15" style="0" width="34"/>
    <col collapsed="false" customWidth="true" hidden="false" outlineLevel="0" max="17" min="16" style="0" width="28"/>
    <col collapsed="false" customWidth="true" hidden="false" outlineLevel="0" max="18" min="18" style="0" width="3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24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</row>
    <row r="6" customFormat="false" ht="39.55" hidden="false" customHeight="false" outlineLevel="0" collapsed="false">
      <c r="A6" s="4" t="s">
        <v>21</v>
      </c>
      <c r="B6" s="5" t="s">
        <v>22</v>
      </c>
      <c r="C6" s="5" t="s">
        <v>22</v>
      </c>
      <c r="D6" s="5" t="s">
        <v>23</v>
      </c>
      <c r="E6" s="5" t="s">
        <v>24</v>
      </c>
      <c r="F6" s="5" t="s">
        <v>22</v>
      </c>
      <c r="G6" s="5" t="s">
        <v>25</v>
      </c>
      <c r="H6" s="5" t="s">
        <v>26</v>
      </c>
      <c r="I6" s="5" t="s">
        <v>27</v>
      </c>
      <c r="J6" s="5" t="s">
        <v>28</v>
      </c>
      <c r="K6" s="5" t="s">
        <v>22</v>
      </c>
      <c r="L6" s="5" t="s">
        <v>29</v>
      </c>
      <c r="M6" s="5" t="s">
        <v>30</v>
      </c>
      <c r="N6" s="5" t="s">
        <v>31</v>
      </c>
      <c r="O6" s="5" t="s">
        <v>32</v>
      </c>
      <c r="P6" s="5" t="s">
        <v>33</v>
      </c>
      <c r="Q6" s="5" t="s">
        <v>34</v>
      </c>
      <c r="R6" s="5" t="s">
        <v>35</v>
      </c>
    </row>
    <row r="7" customFormat="false" ht="26.85" hidden="false" customHeight="false" outlineLevel="0" collapsed="false">
      <c r="A7" s="4" t="s">
        <v>36</v>
      </c>
      <c r="B7" s="6" t="s">
        <v>37</v>
      </c>
      <c r="C7" s="6" t="s">
        <v>38</v>
      </c>
      <c r="D7" s="6" t="s">
        <v>38</v>
      </c>
      <c r="E7" s="7" t="s">
        <v>39</v>
      </c>
      <c r="F7" s="7" t="s">
        <v>40</v>
      </c>
      <c r="G7" s="5" t="s">
        <v>41</v>
      </c>
      <c r="H7" s="7" t="s">
        <v>39</v>
      </c>
      <c r="I7" s="5" t="s">
        <v>42</v>
      </c>
      <c r="J7" s="7" t="s">
        <v>39</v>
      </c>
      <c r="K7" s="5" t="s">
        <v>41</v>
      </c>
      <c r="L7" s="7" t="s">
        <v>39</v>
      </c>
      <c r="M7" s="7" t="s">
        <v>43</v>
      </c>
      <c r="N7" s="6" t="s">
        <v>44</v>
      </c>
      <c r="O7" s="5" t="s">
        <v>45</v>
      </c>
      <c r="P7" s="7" t="s">
        <v>46</v>
      </c>
      <c r="Q7" s="7" t="s">
        <v>39</v>
      </c>
      <c r="R7" s="7" t="s">
        <v>39</v>
      </c>
    </row>
    <row r="8" customFormat="false" ht="39.55" hidden="false" customHeight="false" outlineLevel="0" collapsed="false">
      <c r="A8" s="8" t="s">
        <v>47</v>
      </c>
      <c r="B8" s="9" t="s">
        <v>48</v>
      </c>
      <c r="C8" s="9" t="s">
        <v>49</v>
      </c>
      <c r="D8" s="9" t="s">
        <v>50</v>
      </c>
      <c r="E8" s="9" t="s">
        <v>51</v>
      </c>
      <c r="F8" s="9" t="s">
        <v>41</v>
      </c>
      <c r="G8" s="9" t="s">
        <v>41</v>
      </c>
      <c r="H8" s="9" t="s">
        <v>41</v>
      </c>
      <c r="I8" s="9" t="s">
        <v>52</v>
      </c>
      <c r="J8" s="9" t="s">
        <v>53</v>
      </c>
      <c r="K8" s="9" t="s">
        <v>54</v>
      </c>
      <c r="L8" s="9" t="s">
        <v>41</v>
      </c>
      <c r="M8" s="9" t="s">
        <v>55</v>
      </c>
      <c r="N8" s="9" t="s">
        <v>56</v>
      </c>
      <c r="O8" s="9" t="s">
        <v>41</v>
      </c>
      <c r="P8" s="9" t="s">
        <v>41</v>
      </c>
      <c r="Q8" s="9" t="s">
        <v>41</v>
      </c>
      <c r="R8" s="9" t="s">
        <v>41</v>
      </c>
    </row>
    <row r="9" customFormat="false" ht="77.6" hidden="false" customHeight="false" outlineLevel="0" collapsed="false">
      <c r="A9" s="8" t="s">
        <v>57</v>
      </c>
      <c r="B9" s="9" t="s">
        <v>58</v>
      </c>
      <c r="C9" s="9" t="s">
        <v>59</v>
      </c>
      <c r="D9" s="9" t="s">
        <v>60</v>
      </c>
      <c r="E9" s="9" t="s">
        <v>61</v>
      </c>
      <c r="F9" s="9" t="s">
        <v>41</v>
      </c>
      <c r="G9" s="9" t="s">
        <v>41</v>
      </c>
      <c r="H9" s="9" t="s">
        <v>41</v>
      </c>
      <c r="I9" s="9" t="s">
        <v>62</v>
      </c>
      <c r="J9" s="9" t="s">
        <v>41</v>
      </c>
      <c r="K9" s="9" t="s">
        <v>41</v>
      </c>
      <c r="L9" s="9" t="s">
        <v>41</v>
      </c>
      <c r="M9" s="9" t="s">
        <v>63</v>
      </c>
      <c r="N9" s="9" t="s">
        <v>64</v>
      </c>
      <c r="O9" s="9" t="s">
        <v>41</v>
      </c>
      <c r="P9" s="9" t="s">
        <v>41</v>
      </c>
      <c r="Q9" s="9" t="s">
        <v>41</v>
      </c>
      <c r="R9" s="9" t="s">
        <v>41</v>
      </c>
    </row>
    <row r="10" customFormat="false" ht="39.55" hidden="false" customHeight="false" outlineLevel="0" collapsed="false">
      <c r="A10" s="8" t="s">
        <v>65</v>
      </c>
      <c r="B10" s="9" t="s">
        <v>66</v>
      </c>
      <c r="C10" s="9" t="s">
        <v>67</v>
      </c>
      <c r="D10" s="9" t="s">
        <v>68</v>
      </c>
      <c r="E10" s="9" t="s">
        <v>68</v>
      </c>
      <c r="F10" s="9" t="s">
        <v>41</v>
      </c>
      <c r="G10" s="9" t="s">
        <v>41</v>
      </c>
      <c r="H10" s="9" t="s">
        <v>41</v>
      </c>
      <c r="I10" s="9" t="s">
        <v>69</v>
      </c>
      <c r="J10" s="9" t="s">
        <v>41</v>
      </c>
      <c r="K10" s="9" t="s">
        <v>41</v>
      </c>
      <c r="L10" s="9" t="s">
        <v>41</v>
      </c>
      <c r="M10" s="9" t="s">
        <v>70</v>
      </c>
      <c r="N10" s="9" t="s">
        <v>71</v>
      </c>
      <c r="O10" s="9" t="s">
        <v>41</v>
      </c>
      <c r="P10" s="9" t="s">
        <v>41</v>
      </c>
      <c r="Q10" s="9" t="s">
        <v>41</v>
      </c>
      <c r="R10" s="9" t="s">
        <v>41</v>
      </c>
    </row>
    <row r="11" customFormat="false" ht="52.2" hidden="false" customHeight="false" outlineLevel="0" collapsed="false">
      <c r="A11" s="8" t="s">
        <v>72</v>
      </c>
      <c r="B11" s="9" t="s">
        <v>73</v>
      </c>
      <c r="C11" s="9" t="s">
        <v>73</v>
      </c>
      <c r="D11" s="9" t="s">
        <v>73</v>
      </c>
      <c r="E11" s="10" t="s">
        <v>74</v>
      </c>
      <c r="F11" s="9" t="s">
        <v>41</v>
      </c>
      <c r="G11" s="9" t="s">
        <v>41</v>
      </c>
      <c r="H11" s="9" t="s">
        <v>41</v>
      </c>
      <c r="I11" s="9" t="s">
        <v>75</v>
      </c>
      <c r="J11" s="9" t="s">
        <v>41</v>
      </c>
      <c r="K11" s="9" t="s">
        <v>41</v>
      </c>
      <c r="L11" s="9" t="s">
        <v>41</v>
      </c>
      <c r="M11" s="9" t="s">
        <v>73</v>
      </c>
      <c r="N11" s="9" t="s">
        <v>73</v>
      </c>
      <c r="O11" s="9" t="s">
        <v>41</v>
      </c>
      <c r="P11" s="9" t="s">
        <v>41</v>
      </c>
      <c r="Q11" s="9" t="s">
        <v>41</v>
      </c>
      <c r="R11" s="9" t="s">
        <v>41</v>
      </c>
    </row>
    <row r="12" customFormat="false" ht="102.95" hidden="false" customHeight="false" outlineLevel="0" collapsed="false">
      <c r="A12" s="8" t="s">
        <v>76</v>
      </c>
      <c r="B12" s="9" t="s">
        <v>77</v>
      </c>
      <c r="C12" s="10" t="s">
        <v>78</v>
      </c>
      <c r="D12" s="10" t="s">
        <v>79</v>
      </c>
      <c r="E12" s="9" t="s">
        <v>80</v>
      </c>
      <c r="F12" s="10" t="s">
        <v>81</v>
      </c>
      <c r="G12" s="9" t="s">
        <v>41</v>
      </c>
      <c r="H12" s="9" t="s">
        <v>41</v>
      </c>
      <c r="I12" s="9" t="s">
        <v>82</v>
      </c>
      <c r="J12" s="9" t="s">
        <v>41</v>
      </c>
      <c r="K12" s="9" t="s">
        <v>41</v>
      </c>
      <c r="L12" s="9" t="s">
        <v>41</v>
      </c>
      <c r="M12" s="9" t="s">
        <v>83</v>
      </c>
      <c r="N12" s="9" t="s">
        <v>84</v>
      </c>
      <c r="O12" s="9" t="s">
        <v>41</v>
      </c>
      <c r="P12" s="9" t="s">
        <v>41</v>
      </c>
      <c r="Q12" s="9" t="s">
        <v>41</v>
      </c>
      <c r="R12" s="9" t="s">
        <v>41</v>
      </c>
    </row>
    <row r="13" customFormat="false" ht="26.85" hidden="false" customHeight="false" outlineLevel="0" collapsed="false">
      <c r="A13" s="8" t="s">
        <v>85</v>
      </c>
      <c r="B13" s="9" t="s">
        <v>86</v>
      </c>
      <c r="C13" s="9" t="s">
        <v>87</v>
      </c>
      <c r="D13" s="9" t="s">
        <v>88</v>
      </c>
      <c r="E13" s="9" t="s">
        <v>89</v>
      </c>
      <c r="F13" s="9" t="s">
        <v>89</v>
      </c>
      <c r="G13" s="9" t="s">
        <v>41</v>
      </c>
      <c r="H13" s="9" t="s">
        <v>41</v>
      </c>
      <c r="I13" s="9" t="s">
        <v>90</v>
      </c>
      <c r="J13" s="9" t="s">
        <v>41</v>
      </c>
      <c r="K13" s="9" t="s">
        <v>41</v>
      </c>
      <c r="L13" s="9" t="s">
        <v>41</v>
      </c>
      <c r="M13" s="9" t="s">
        <v>89</v>
      </c>
      <c r="N13" s="10" t="s">
        <v>91</v>
      </c>
      <c r="O13" s="9" t="s">
        <v>41</v>
      </c>
      <c r="P13" s="9" t="s">
        <v>41</v>
      </c>
      <c r="Q13" s="9" t="s">
        <v>41</v>
      </c>
      <c r="R13" s="9" t="s">
        <v>41</v>
      </c>
    </row>
    <row r="14" customFormat="false" ht="90.25" hidden="false" customHeight="false" outlineLevel="0" collapsed="false">
      <c r="A14" s="8" t="s">
        <v>92</v>
      </c>
      <c r="B14" s="9" t="s">
        <v>93</v>
      </c>
      <c r="C14" s="10" t="s">
        <v>94</v>
      </c>
      <c r="D14" s="9" t="s">
        <v>95</v>
      </c>
      <c r="E14" s="9" t="s">
        <v>96</v>
      </c>
      <c r="F14" s="9" t="s">
        <v>97</v>
      </c>
      <c r="G14" s="9" t="s">
        <v>98</v>
      </c>
      <c r="H14" s="9" t="s">
        <v>41</v>
      </c>
      <c r="I14" s="9" t="s">
        <v>99</v>
      </c>
      <c r="J14" s="9" t="s">
        <v>41</v>
      </c>
      <c r="K14" s="9" t="s">
        <v>100</v>
      </c>
      <c r="L14" s="9" t="s">
        <v>41</v>
      </c>
      <c r="M14" s="9" t="s">
        <v>101</v>
      </c>
      <c r="N14" s="9" t="s">
        <v>102</v>
      </c>
      <c r="O14" s="9" t="s">
        <v>103</v>
      </c>
      <c r="P14" s="9" t="s">
        <v>104</v>
      </c>
      <c r="Q14" s="9" t="s">
        <v>105</v>
      </c>
      <c r="R14" s="9" t="s">
        <v>106</v>
      </c>
    </row>
    <row r="15" customFormat="false" ht="52.2" hidden="false" customHeight="false" outlineLevel="0" collapsed="false">
      <c r="A15" s="8" t="s">
        <v>107</v>
      </c>
      <c r="B15" s="9" t="s">
        <v>108</v>
      </c>
      <c r="C15" s="9" t="s">
        <v>73</v>
      </c>
      <c r="D15" s="9" t="s">
        <v>109</v>
      </c>
      <c r="E15" s="9" t="s">
        <v>110</v>
      </c>
      <c r="F15" s="9" t="s">
        <v>41</v>
      </c>
      <c r="G15" s="9" t="s">
        <v>41</v>
      </c>
      <c r="H15" s="9" t="s">
        <v>41</v>
      </c>
      <c r="I15" s="9" t="s">
        <v>111</v>
      </c>
      <c r="J15" s="9" t="s">
        <v>41</v>
      </c>
      <c r="K15" s="9" t="s">
        <v>41</v>
      </c>
      <c r="L15" s="9" t="s">
        <v>41</v>
      </c>
      <c r="M15" s="9" t="s">
        <v>112</v>
      </c>
      <c r="N15" s="9" t="s">
        <v>73</v>
      </c>
      <c r="O15" s="9" t="s">
        <v>41</v>
      </c>
      <c r="P15" s="9" t="s">
        <v>41</v>
      </c>
      <c r="Q15" s="9" t="s">
        <v>41</v>
      </c>
      <c r="R15" s="9" t="s">
        <v>41</v>
      </c>
    </row>
    <row r="16" customFormat="false" ht="52.2" hidden="false" customHeight="false" outlineLevel="0" collapsed="false">
      <c r="A16" s="8" t="s">
        <v>113</v>
      </c>
      <c r="B16" s="9" t="s">
        <v>114</v>
      </c>
      <c r="C16" s="9" t="s">
        <v>115</v>
      </c>
      <c r="D16" s="9" t="s">
        <v>116</v>
      </c>
      <c r="E16" s="9" t="s">
        <v>117</v>
      </c>
      <c r="F16" s="9" t="s">
        <v>41</v>
      </c>
      <c r="G16" s="9" t="s">
        <v>41</v>
      </c>
      <c r="H16" s="9" t="s">
        <v>41</v>
      </c>
      <c r="I16" s="9" t="s">
        <v>118</v>
      </c>
      <c r="J16" s="9" t="s">
        <v>41</v>
      </c>
      <c r="K16" s="9" t="s">
        <v>41</v>
      </c>
      <c r="L16" s="9" t="s">
        <v>41</v>
      </c>
      <c r="M16" s="9" t="s">
        <v>119</v>
      </c>
      <c r="N16" s="9" t="s">
        <v>68</v>
      </c>
      <c r="O16" s="9" t="s">
        <v>41</v>
      </c>
      <c r="P16" s="9" t="s">
        <v>41</v>
      </c>
      <c r="Q16" s="9" t="s">
        <v>41</v>
      </c>
      <c r="R16" s="9" t="s">
        <v>41</v>
      </c>
    </row>
    <row r="17" customFormat="false" ht="77.6" hidden="false" customHeight="false" outlineLevel="0" collapsed="false">
      <c r="A17" s="8" t="s">
        <v>120</v>
      </c>
      <c r="B17" s="9" t="s">
        <v>121</v>
      </c>
      <c r="C17" s="9" t="s">
        <v>122</v>
      </c>
      <c r="D17" s="9" t="s">
        <v>123</v>
      </c>
      <c r="E17" s="10" t="s">
        <v>124</v>
      </c>
      <c r="F17" s="10" t="s">
        <v>125</v>
      </c>
      <c r="G17" s="9" t="s">
        <v>41</v>
      </c>
      <c r="H17" s="9" t="s">
        <v>41</v>
      </c>
      <c r="I17" s="9" t="s">
        <v>126</v>
      </c>
      <c r="J17" s="9" t="s">
        <v>41</v>
      </c>
      <c r="K17" s="9" t="s">
        <v>41</v>
      </c>
      <c r="L17" s="9" t="s">
        <v>41</v>
      </c>
      <c r="M17" s="9" t="s">
        <v>127</v>
      </c>
      <c r="N17" s="9" t="s">
        <v>68</v>
      </c>
      <c r="O17" s="9" t="s">
        <v>41</v>
      </c>
      <c r="P17" s="9" t="s">
        <v>41</v>
      </c>
      <c r="Q17" s="9" t="s">
        <v>41</v>
      </c>
      <c r="R17" s="9" t="s">
        <v>41</v>
      </c>
    </row>
    <row r="18" customFormat="false" ht="52.2" hidden="false" customHeight="false" outlineLevel="0" collapsed="false">
      <c r="A18" s="8" t="s">
        <v>128</v>
      </c>
      <c r="B18" s="9" t="s">
        <v>73</v>
      </c>
      <c r="C18" s="9" t="s">
        <v>129</v>
      </c>
      <c r="D18" s="9" t="s">
        <v>130</v>
      </c>
      <c r="E18" s="9" t="s">
        <v>131</v>
      </c>
      <c r="F18" s="9" t="s">
        <v>41</v>
      </c>
      <c r="G18" s="9" t="s">
        <v>41</v>
      </c>
      <c r="H18" s="9" t="s">
        <v>41</v>
      </c>
      <c r="I18" s="9" t="s">
        <v>132</v>
      </c>
      <c r="J18" s="9" t="s">
        <v>41</v>
      </c>
      <c r="K18" s="9" t="s">
        <v>41</v>
      </c>
      <c r="L18" s="9" t="s">
        <v>41</v>
      </c>
      <c r="M18" s="9" t="s">
        <v>133</v>
      </c>
      <c r="N18" s="9" t="s">
        <v>68</v>
      </c>
      <c r="O18" s="9" t="s">
        <v>41</v>
      </c>
      <c r="P18" s="9" t="s">
        <v>41</v>
      </c>
      <c r="Q18" s="9" t="s">
        <v>41</v>
      </c>
      <c r="R18" s="9" t="s">
        <v>41</v>
      </c>
    </row>
    <row r="19" customFormat="false" ht="102.95" hidden="false" customHeight="false" outlineLevel="0" collapsed="false">
      <c r="A19" s="8" t="s">
        <v>134</v>
      </c>
      <c r="B19" s="9" t="s">
        <v>135</v>
      </c>
      <c r="C19" s="9" t="s">
        <v>68</v>
      </c>
      <c r="D19" s="9" t="s">
        <v>68</v>
      </c>
      <c r="E19" s="9" t="s">
        <v>68</v>
      </c>
      <c r="F19" s="9" t="s">
        <v>41</v>
      </c>
      <c r="G19" s="9" t="s">
        <v>41</v>
      </c>
      <c r="H19" s="9" t="s">
        <v>41</v>
      </c>
      <c r="I19" s="9" t="s">
        <v>41</v>
      </c>
      <c r="J19" s="9" t="s">
        <v>41</v>
      </c>
      <c r="K19" s="9" t="s">
        <v>41</v>
      </c>
      <c r="L19" s="9" t="s">
        <v>41</v>
      </c>
      <c r="M19" s="9" t="s">
        <v>136</v>
      </c>
      <c r="N19" s="9" t="s">
        <v>137</v>
      </c>
      <c r="O19" s="9" t="s">
        <v>41</v>
      </c>
      <c r="P19" s="9" t="s">
        <v>41</v>
      </c>
      <c r="Q19" s="9" t="s">
        <v>41</v>
      </c>
      <c r="R19" s="9" t="s">
        <v>41</v>
      </c>
    </row>
    <row r="20" customFormat="false" ht="90.25" hidden="false" customHeight="false" outlineLevel="0" collapsed="false">
      <c r="A20" s="8" t="s">
        <v>138</v>
      </c>
      <c r="B20" s="11" t="s">
        <v>139</v>
      </c>
      <c r="C20" s="11" t="s">
        <v>68</v>
      </c>
      <c r="D20" s="11" t="s">
        <v>68</v>
      </c>
      <c r="E20" s="11" t="s">
        <v>68</v>
      </c>
      <c r="F20" s="11" t="s">
        <v>41</v>
      </c>
      <c r="G20" s="12" t="s">
        <v>140</v>
      </c>
      <c r="H20" s="11" t="s">
        <v>41</v>
      </c>
      <c r="I20" s="11" t="s">
        <v>141</v>
      </c>
      <c r="J20" s="11" t="s">
        <v>41</v>
      </c>
      <c r="K20" s="11" t="s">
        <v>41</v>
      </c>
      <c r="L20" s="11" t="s">
        <v>41</v>
      </c>
      <c r="M20" s="11" t="s">
        <v>142</v>
      </c>
      <c r="N20" s="11" t="s">
        <v>143</v>
      </c>
      <c r="O20" s="11" t="s">
        <v>41</v>
      </c>
      <c r="P20" s="11" t="s">
        <v>41</v>
      </c>
      <c r="Q20" s="11" t="s">
        <v>41</v>
      </c>
      <c r="R20" s="11" t="s">
        <v>144</v>
      </c>
    </row>
    <row r="21" customFormat="false" ht="26.85" hidden="false" customHeight="false" outlineLevel="0" collapsed="false">
      <c r="A21" s="8" t="s">
        <v>145</v>
      </c>
      <c r="B21" s="9" t="s">
        <v>146</v>
      </c>
      <c r="C21" s="9" t="s">
        <v>147</v>
      </c>
      <c r="D21" s="9" t="s">
        <v>68</v>
      </c>
      <c r="E21" s="9" t="s">
        <v>68</v>
      </c>
      <c r="F21" s="9" t="s">
        <v>41</v>
      </c>
      <c r="G21" s="9" t="s">
        <v>41</v>
      </c>
      <c r="H21" s="9" t="s">
        <v>41</v>
      </c>
      <c r="I21" s="9" t="s">
        <v>41</v>
      </c>
      <c r="J21" s="9" t="s">
        <v>41</v>
      </c>
      <c r="K21" s="9" t="s">
        <v>41</v>
      </c>
      <c r="L21" s="9" t="s">
        <v>41</v>
      </c>
      <c r="M21" s="9" t="s">
        <v>148</v>
      </c>
      <c r="N21" s="9" t="s">
        <v>68</v>
      </c>
      <c r="O21" s="9" t="s">
        <v>41</v>
      </c>
      <c r="P21" s="9" t="s">
        <v>41</v>
      </c>
      <c r="Q21" s="9" t="s">
        <v>41</v>
      </c>
      <c r="R21" s="9" t="s">
        <v>41</v>
      </c>
    </row>
    <row r="22" customFormat="false" ht="39.55" hidden="false" customHeight="false" outlineLevel="0" collapsed="false">
      <c r="A22" s="8" t="s">
        <v>149</v>
      </c>
      <c r="B22" s="9" t="s">
        <v>150</v>
      </c>
      <c r="C22" s="9" t="s">
        <v>151</v>
      </c>
      <c r="D22" s="9" t="s">
        <v>152</v>
      </c>
      <c r="E22" s="9" t="s">
        <v>68</v>
      </c>
      <c r="F22" s="9" t="s">
        <v>41</v>
      </c>
      <c r="G22" s="9" t="s">
        <v>153</v>
      </c>
      <c r="H22" s="9" t="s">
        <v>41</v>
      </c>
      <c r="I22" s="9" t="s">
        <v>154</v>
      </c>
      <c r="J22" s="9" t="s">
        <v>41</v>
      </c>
      <c r="K22" s="9" t="s">
        <v>41</v>
      </c>
      <c r="L22" s="9" t="s">
        <v>41</v>
      </c>
      <c r="M22" s="9" t="s">
        <v>155</v>
      </c>
      <c r="N22" s="9" t="s">
        <v>68</v>
      </c>
      <c r="O22" s="9" t="s">
        <v>41</v>
      </c>
      <c r="P22" s="9" t="s">
        <v>41</v>
      </c>
      <c r="Q22" s="9" t="s">
        <v>41</v>
      </c>
      <c r="R22" s="9" t="s">
        <v>41</v>
      </c>
    </row>
    <row r="23" customFormat="false" ht="26.85" hidden="false" customHeight="false" outlineLevel="0" collapsed="false">
      <c r="A23" s="8" t="s">
        <v>156</v>
      </c>
      <c r="B23" s="9" t="s">
        <v>157</v>
      </c>
      <c r="C23" s="9" t="s">
        <v>158</v>
      </c>
      <c r="D23" s="9" t="s">
        <v>157</v>
      </c>
      <c r="E23" s="9" t="s">
        <v>159</v>
      </c>
      <c r="F23" s="9" t="s">
        <v>160</v>
      </c>
      <c r="G23" s="9" t="s">
        <v>161</v>
      </c>
      <c r="H23" s="9" t="s">
        <v>162</v>
      </c>
      <c r="I23" s="9" t="s">
        <v>163</v>
      </c>
      <c r="J23" s="9" t="s">
        <v>164</v>
      </c>
      <c r="K23" s="9" t="s">
        <v>165</v>
      </c>
      <c r="L23" s="9" t="s">
        <v>166</v>
      </c>
      <c r="M23" s="9" t="s">
        <v>167</v>
      </c>
      <c r="N23" s="9" t="s">
        <v>168</v>
      </c>
      <c r="O23" s="9" t="s">
        <v>169</v>
      </c>
      <c r="P23" s="9" t="s">
        <v>157</v>
      </c>
      <c r="Q23" s="9" t="s">
        <v>170</v>
      </c>
      <c r="R23" s="9" t="s">
        <v>171</v>
      </c>
    </row>
    <row r="25" customFormat="false" ht="15" hidden="false" customHeight="false" outlineLevel="0" collapsed="false">
      <c r="A25" s="13" t="s">
        <v>172</v>
      </c>
    </row>
    <row r="26" customFormat="false" ht="15" hidden="false" customHeight="false" outlineLevel="0" collapsed="false">
      <c r="A26" s="14" t="s">
        <v>173</v>
      </c>
    </row>
    <row r="27" customFormat="false" ht="15" hidden="false" customHeight="false" outlineLevel="0" collapsed="false">
      <c r="A27" s="14" t="s">
        <v>174</v>
      </c>
    </row>
    <row r="28" customFormat="false" ht="15" hidden="false" customHeight="false" outlineLevel="0" collapsed="false">
      <c r="A28" s="14" t="s">
        <v>175</v>
      </c>
    </row>
    <row r="29" customFormat="false" ht="15" hidden="false" customHeight="false" outlineLevel="0" collapsed="false">
      <c r="A29" s="14" t="s">
        <v>176</v>
      </c>
    </row>
    <row r="30" customFormat="false" ht="15" hidden="false" customHeight="false" outlineLevel="0" collapsed="false">
      <c r="A30" s="14" t="s">
        <v>177</v>
      </c>
    </row>
    <row r="31" customFormat="false" ht="15" hidden="false" customHeight="false" outlineLevel="0" collapsed="false">
      <c r="A31" s="14" t="s">
        <v>178</v>
      </c>
    </row>
    <row r="32" customFormat="false" ht="15" hidden="false" customHeight="false" outlineLevel="0" collapsed="false">
      <c r="A32" s="14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25"/>
    <col collapsed="false" customWidth="true" hidden="false" outlineLevel="0" max="4" min="4" style="0" width="31"/>
    <col collapsed="false" customWidth="true" hidden="false" outlineLevel="0" max="5" min="5" style="0" width="23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29"/>
    <col collapsed="false" customWidth="true" hidden="false" outlineLevel="0" max="9" min="9" style="0" width="27"/>
    <col collapsed="false" customWidth="true" hidden="false" outlineLevel="0" max="10" min="10" style="0" width="35"/>
    <col collapsed="false" customWidth="true" hidden="false" outlineLevel="0" max="11" min="11" style="0" width="31"/>
    <col collapsed="false" customWidth="true" hidden="false" outlineLevel="0" max="12" min="12" style="0" width="27"/>
    <col collapsed="false" customWidth="true" hidden="false" outlineLevel="0" max="13" min="13" style="0" width="35"/>
    <col collapsed="false" customWidth="true" hidden="false" outlineLevel="0" max="14" min="14" style="0" width="40"/>
    <col collapsed="false" customWidth="true" hidden="false" outlineLevel="0" max="15" min="15" style="0" width="42"/>
    <col collapsed="false" customWidth="true" hidden="false" outlineLevel="0" max="16" min="16" style="0" width="32"/>
    <col collapsed="false" customWidth="true" hidden="false" outlineLevel="0" max="17" min="17" style="0" width="36"/>
    <col collapsed="false" customWidth="true" hidden="false" outlineLevel="0" max="18" min="18" style="0" width="34"/>
    <col collapsed="false" customWidth="true" hidden="false" outlineLevel="0" max="19" min="19" style="0" width="40"/>
  </cols>
  <sheetData>
    <row r="1" customFormat="false" ht="19.4" hidden="false" customHeight="false" outlineLevel="0" collapsed="false">
      <c r="A1" s="1" t="s">
        <v>180</v>
      </c>
    </row>
    <row r="2" customFormat="false" ht="15" hidden="false" customHeight="false" outlineLevel="0" collapsed="false">
      <c r="A2" s="2" t="s">
        <v>181</v>
      </c>
    </row>
    <row r="4" customFormat="false" ht="24" hidden="false" customHeight="true" outlineLevel="0" collapsed="false">
      <c r="A4" s="15" t="s">
        <v>182</v>
      </c>
      <c r="B4" s="15" t="s">
        <v>3</v>
      </c>
      <c r="C4" s="15" t="s">
        <v>4</v>
      </c>
      <c r="D4" s="15" t="s">
        <v>5</v>
      </c>
      <c r="E4" s="15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11</v>
      </c>
      <c r="K4" s="15" t="s">
        <v>12</v>
      </c>
      <c r="L4" s="15" t="s">
        <v>13</v>
      </c>
      <c r="M4" s="15" t="s">
        <v>14</v>
      </c>
      <c r="N4" s="15" t="s">
        <v>15</v>
      </c>
      <c r="O4" s="15" t="s">
        <v>16</v>
      </c>
      <c r="P4" s="15" t="s">
        <v>17</v>
      </c>
      <c r="Q4" s="15" t="s">
        <v>18</v>
      </c>
      <c r="R4" s="15" t="s">
        <v>19</v>
      </c>
      <c r="S4" s="15" t="s">
        <v>20</v>
      </c>
    </row>
    <row r="5" customFormat="false" ht="26.85" hidden="false" customHeight="false" outlineLevel="0" collapsed="false">
      <c r="A5" s="4" t="s">
        <v>183</v>
      </c>
      <c r="B5" s="4" t="s">
        <v>21</v>
      </c>
      <c r="C5" s="5" t="s">
        <v>184</v>
      </c>
      <c r="D5" s="5" t="s">
        <v>185</v>
      </c>
      <c r="E5" s="5" t="s">
        <v>186</v>
      </c>
      <c r="F5" s="5" t="s">
        <v>41</v>
      </c>
      <c r="G5" s="5" t="s">
        <v>41</v>
      </c>
      <c r="H5" s="5" t="s">
        <v>187</v>
      </c>
      <c r="I5" s="5" t="s">
        <v>188</v>
      </c>
      <c r="J5" s="5" t="s">
        <v>189</v>
      </c>
      <c r="K5" s="5" t="s">
        <v>190</v>
      </c>
      <c r="L5" s="5" t="s">
        <v>191</v>
      </c>
      <c r="M5" s="5" t="s">
        <v>192</v>
      </c>
      <c r="N5" s="5" t="s">
        <v>193</v>
      </c>
      <c r="O5" s="5" t="s">
        <v>194</v>
      </c>
      <c r="P5" s="5" t="s">
        <v>195</v>
      </c>
      <c r="Q5" s="5" t="s">
        <v>196</v>
      </c>
      <c r="R5" s="5" t="s">
        <v>197</v>
      </c>
      <c r="S5" s="5" t="s">
        <v>198</v>
      </c>
    </row>
    <row r="6" customFormat="false" ht="52.2" hidden="false" customHeight="false" outlineLevel="0" collapsed="false">
      <c r="A6" s="8"/>
      <c r="B6" s="8" t="s">
        <v>199</v>
      </c>
      <c r="C6" s="9" t="s">
        <v>200</v>
      </c>
      <c r="D6" s="10" t="s">
        <v>201</v>
      </c>
      <c r="E6" s="9" t="s">
        <v>202</v>
      </c>
      <c r="F6" s="9" t="s">
        <v>41</v>
      </c>
      <c r="G6" s="9" t="s">
        <v>203</v>
      </c>
      <c r="H6" s="9" t="s">
        <v>204</v>
      </c>
      <c r="I6" s="9" t="s">
        <v>205</v>
      </c>
      <c r="J6" s="9" t="s">
        <v>206</v>
      </c>
      <c r="K6" s="9" t="s">
        <v>207</v>
      </c>
      <c r="L6" s="9" t="s">
        <v>208</v>
      </c>
      <c r="M6" s="9" t="s">
        <v>209</v>
      </c>
      <c r="N6" s="9" t="s">
        <v>210</v>
      </c>
      <c r="O6" s="9" t="s">
        <v>211</v>
      </c>
      <c r="P6" s="9" t="s">
        <v>212</v>
      </c>
      <c r="Q6" s="9" t="s">
        <v>213</v>
      </c>
      <c r="R6" s="9" t="s">
        <v>214</v>
      </c>
      <c r="S6" s="9" t="s">
        <v>215</v>
      </c>
    </row>
    <row r="7" customFormat="false" ht="52.2" hidden="false" customHeight="false" outlineLevel="0" collapsed="false">
      <c r="A7" s="8"/>
      <c r="B7" s="8" t="s">
        <v>216</v>
      </c>
      <c r="C7" s="9" t="s">
        <v>217</v>
      </c>
      <c r="D7" s="9" t="s">
        <v>218</v>
      </c>
      <c r="E7" s="9" t="s">
        <v>219</v>
      </c>
      <c r="F7" s="9" t="s">
        <v>41</v>
      </c>
      <c r="G7" s="9" t="s">
        <v>41</v>
      </c>
      <c r="H7" s="9" t="s">
        <v>220</v>
      </c>
      <c r="I7" s="9" t="s">
        <v>221</v>
      </c>
      <c r="J7" s="9" t="s">
        <v>222</v>
      </c>
      <c r="K7" s="9" t="s">
        <v>223</v>
      </c>
      <c r="L7" s="9" t="s">
        <v>224</v>
      </c>
      <c r="M7" s="9" t="s">
        <v>225</v>
      </c>
      <c r="N7" s="9" t="s">
        <v>226</v>
      </c>
      <c r="O7" s="9" t="s">
        <v>227</v>
      </c>
      <c r="P7" s="9" t="s">
        <v>228</v>
      </c>
      <c r="Q7" s="10" t="s">
        <v>229</v>
      </c>
      <c r="R7" s="10" t="s">
        <v>230</v>
      </c>
      <c r="S7" s="9" t="s">
        <v>231</v>
      </c>
    </row>
    <row r="8" customFormat="false" ht="64.9" hidden="false" customHeight="false" outlineLevel="0" collapsed="false">
      <c r="A8" s="8"/>
      <c r="B8" s="8" t="s">
        <v>232</v>
      </c>
      <c r="C8" s="10" t="s">
        <v>233</v>
      </c>
      <c r="D8" s="9" t="s">
        <v>234</v>
      </c>
      <c r="E8" s="10" t="s">
        <v>235</v>
      </c>
      <c r="F8" s="9" t="s">
        <v>41</v>
      </c>
      <c r="G8" s="9" t="s">
        <v>41</v>
      </c>
      <c r="H8" s="9" t="s">
        <v>41</v>
      </c>
      <c r="I8" s="9" t="s">
        <v>236</v>
      </c>
      <c r="J8" s="10" t="s">
        <v>237</v>
      </c>
      <c r="K8" s="9" t="s">
        <v>238</v>
      </c>
      <c r="L8" s="9" t="s">
        <v>239</v>
      </c>
      <c r="M8" s="9" t="s">
        <v>240</v>
      </c>
      <c r="N8" s="9" t="s">
        <v>241</v>
      </c>
      <c r="O8" s="9" t="s">
        <v>242</v>
      </c>
      <c r="P8" s="9" t="s">
        <v>243</v>
      </c>
      <c r="Q8" s="10" t="s">
        <v>244</v>
      </c>
      <c r="R8" s="9" t="s">
        <v>41</v>
      </c>
      <c r="S8" s="9" t="s">
        <v>245</v>
      </c>
    </row>
    <row r="9" customFormat="false" ht="64.9" hidden="false" customHeight="false" outlineLevel="0" collapsed="false">
      <c r="A9" s="8"/>
      <c r="B9" s="8" t="s">
        <v>246</v>
      </c>
      <c r="C9" s="9" t="s">
        <v>247</v>
      </c>
      <c r="D9" s="16" t="s">
        <v>248</v>
      </c>
      <c r="E9" s="9" t="s">
        <v>247</v>
      </c>
      <c r="F9" s="9" t="s">
        <v>41</v>
      </c>
      <c r="G9" s="9" t="s">
        <v>249</v>
      </c>
      <c r="H9" s="9" t="s">
        <v>250</v>
      </c>
      <c r="I9" s="9" t="s">
        <v>251</v>
      </c>
      <c r="J9" s="9" t="s">
        <v>252</v>
      </c>
      <c r="K9" s="16" t="s">
        <v>253</v>
      </c>
      <c r="L9" s="9" t="s">
        <v>41</v>
      </c>
      <c r="M9" s="16" t="s">
        <v>254</v>
      </c>
      <c r="N9" s="9" t="s">
        <v>255</v>
      </c>
      <c r="O9" s="9" t="s">
        <v>256</v>
      </c>
      <c r="P9" s="9" t="s">
        <v>41</v>
      </c>
      <c r="Q9" s="9" t="s">
        <v>257</v>
      </c>
      <c r="R9" s="9" t="s">
        <v>41</v>
      </c>
      <c r="S9" s="9" t="s">
        <v>258</v>
      </c>
    </row>
    <row r="10" customFormat="false" ht="52.2" hidden="false" customHeight="false" outlineLevel="0" collapsed="false">
      <c r="A10" s="8"/>
      <c r="B10" s="8" t="s">
        <v>259</v>
      </c>
      <c r="C10" s="9" t="s">
        <v>260</v>
      </c>
      <c r="D10" s="16" t="s">
        <v>261</v>
      </c>
      <c r="E10" s="9" t="s">
        <v>262</v>
      </c>
      <c r="F10" s="9" t="s">
        <v>41</v>
      </c>
      <c r="G10" s="9" t="s">
        <v>41</v>
      </c>
      <c r="H10" s="9" t="s">
        <v>41</v>
      </c>
      <c r="I10" s="10" t="s">
        <v>263</v>
      </c>
      <c r="J10" s="9" t="s">
        <v>264</v>
      </c>
      <c r="K10" s="16" t="s">
        <v>265</v>
      </c>
      <c r="L10" s="9" t="s">
        <v>266</v>
      </c>
      <c r="M10" s="16" t="s">
        <v>267</v>
      </c>
      <c r="N10" s="9" t="s">
        <v>268</v>
      </c>
      <c r="O10" s="9" t="s">
        <v>269</v>
      </c>
      <c r="P10" s="9" t="s">
        <v>270</v>
      </c>
      <c r="Q10" s="10" t="s">
        <v>271</v>
      </c>
      <c r="R10" s="9" t="s">
        <v>272</v>
      </c>
      <c r="S10" s="9" t="s">
        <v>273</v>
      </c>
    </row>
    <row r="11" customFormat="false" ht="26.85" hidden="false" customHeight="false" outlineLevel="0" collapsed="false">
      <c r="A11" s="8"/>
      <c r="B11" s="8" t="s">
        <v>274</v>
      </c>
      <c r="C11" s="10" t="s">
        <v>275</v>
      </c>
      <c r="D11" s="9" t="s">
        <v>276</v>
      </c>
      <c r="E11" s="9" t="s">
        <v>277</v>
      </c>
      <c r="F11" s="9" t="s">
        <v>41</v>
      </c>
      <c r="G11" s="9" t="s">
        <v>41</v>
      </c>
      <c r="H11" s="9" t="s">
        <v>278</v>
      </c>
      <c r="I11" s="9" t="s">
        <v>41</v>
      </c>
      <c r="J11" s="9" t="s">
        <v>41</v>
      </c>
      <c r="K11" s="9" t="s">
        <v>41</v>
      </c>
      <c r="L11" s="9" t="s">
        <v>41</v>
      </c>
      <c r="M11" s="9" t="s">
        <v>279</v>
      </c>
      <c r="N11" s="10" t="s">
        <v>280</v>
      </c>
      <c r="O11" s="9" t="s">
        <v>281</v>
      </c>
      <c r="P11" s="9" t="s">
        <v>41</v>
      </c>
      <c r="Q11" s="9" t="s">
        <v>41</v>
      </c>
      <c r="R11" s="9" t="s">
        <v>41</v>
      </c>
      <c r="S11" s="9" t="s">
        <v>41</v>
      </c>
    </row>
    <row r="12" customFormat="false" ht="64.9" hidden="false" customHeight="false" outlineLevel="0" collapsed="false">
      <c r="A12" s="8"/>
      <c r="B12" s="8" t="s">
        <v>282</v>
      </c>
      <c r="C12" s="9" t="s">
        <v>283</v>
      </c>
      <c r="D12" s="9" t="s">
        <v>284</v>
      </c>
      <c r="E12" s="9" t="s">
        <v>285</v>
      </c>
      <c r="F12" s="9" t="s">
        <v>41</v>
      </c>
      <c r="G12" s="9" t="s">
        <v>41</v>
      </c>
      <c r="H12" s="9" t="s">
        <v>286</v>
      </c>
      <c r="I12" s="9" t="s">
        <v>41</v>
      </c>
      <c r="J12" s="9" t="s">
        <v>287</v>
      </c>
      <c r="K12" s="9" t="s">
        <v>41</v>
      </c>
      <c r="L12" s="9" t="s">
        <v>41</v>
      </c>
      <c r="M12" s="9" t="s">
        <v>288</v>
      </c>
      <c r="N12" s="9" t="s">
        <v>289</v>
      </c>
      <c r="O12" s="9" t="s">
        <v>290</v>
      </c>
      <c r="P12" s="9" t="s">
        <v>41</v>
      </c>
      <c r="Q12" s="9" t="s">
        <v>41</v>
      </c>
      <c r="R12" s="9" t="s">
        <v>291</v>
      </c>
      <c r="S12" s="9" t="s">
        <v>292</v>
      </c>
    </row>
    <row r="13" customFormat="false" ht="77.6" hidden="false" customHeight="false" outlineLevel="0" collapsed="false">
      <c r="A13" s="8"/>
      <c r="B13" s="8" t="s">
        <v>293</v>
      </c>
      <c r="C13" s="9" t="s">
        <v>73</v>
      </c>
      <c r="D13" s="16" t="s">
        <v>294</v>
      </c>
      <c r="E13" s="9" t="s">
        <v>73</v>
      </c>
      <c r="F13" s="9" t="s">
        <v>41</v>
      </c>
      <c r="G13" s="9" t="s">
        <v>41</v>
      </c>
      <c r="H13" s="9" t="s">
        <v>295</v>
      </c>
      <c r="I13" s="9" t="s">
        <v>296</v>
      </c>
      <c r="J13" s="9" t="s">
        <v>297</v>
      </c>
      <c r="K13" s="9" t="s">
        <v>298</v>
      </c>
      <c r="L13" s="9" t="s">
        <v>41</v>
      </c>
      <c r="M13" s="9" t="s">
        <v>299</v>
      </c>
      <c r="N13" s="9" t="s">
        <v>300</v>
      </c>
      <c r="O13" s="9" t="s">
        <v>301</v>
      </c>
      <c r="P13" s="9" t="s">
        <v>302</v>
      </c>
      <c r="Q13" s="10" t="s">
        <v>303</v>
      </c>
      <c r="R13" s="9" t="s">
        <v>41</v>
      </c>
      <c r="S13" s="9" t="s">
        <v>304</v>
      </c>
    </row>
    <row r="14" customFormat="false" ht="50.7" hidden="false" customHeight="false" outlineLevel="0" collapsed="false">
      <c r="A14" s="8"/>
      <c r="B14" s="8" t="s">
        <v>305</v>
      </c>
      <c r="C14" s="9" t="s">
        <v>306</v>
      </c>
      <c r="D14" s="9" t="s">
        <v>307</v>
      </c>
      <c r="E14" s="9" t="s">
        <v>308</v>
      </c>
      <c r="F14" s="9" t="s">
        <v>41</v>
      </c>
      <c r="G14" s="9" t="s">
        <v>41</v>
      </c>
      <c r="H14" s="9" t="s">
        <v>41</v>
      </c>
      <c r="I14" s="9" t="s">
        <v>41</v>
      </c>
      <c r="J14" s="9" t="s">
        <v>309</v>
      </c>
      <c r="K14" s="9" t="s">
        <v>41</v>
      </c>
      <c r="L14" s="9" t="s">
        <v>41</v>
      </c>
      <c r="M14" s="9" t="s">
        <v>310</v>
      </c>
      <c r="N14" s="9" t="s">
        <v>311</v>
      </c>
      <c r="O14" s="9" t="s">
        <v>312</v>
      </c>
      <c r="P14" s="10" t="s">
        <v>313</v>
      </c>
      <c r="Q14" s="10" t="s">
        <v>314</v>
      </c>
      <c r="R14" s="9" t="s">
        <v>41</v>
      </c>
      <c r="S14" s="9" t="s">
        <v>315</v>
      </c>
    </row>
    <row r="15" customFormat="false" ht="26.85" hidden="false" customHeight="false" outlineLevel="0" collapsed="false">
      <c r="A15" s="8"/>
      <c r="B15" s="8" t="s">
        <v>316</v>
      </c>
      <c r="C15" s="9" t="s">
        <v>317</v>
      </c>
      <c r="D15" s="9" t="s">
        <v>318</v>
      </c>
      <c r="E15" s="9" t="s">
        <v>41</v>
      </c>
      <c r="F15" s="9" t="s">
        <v>41</v>
      </c>
      <c r="G15" s="9" t="s">
        <v>41</v>
      </c>
      <c r="H15" s="9" t="s">
        <v>41</v>
      </c>
      <c r="I15" s="9" t="s">
        <v>41</v>
      </c>
      <c r="J15" s="9" t="s">
        <v>41</v>
      </c>
      <c r="K15" s="9" t="s">
        <v>41</v>
      </c>
      <c r="L15" s="9" t="s">
        <v>41</v>
      </c>
      <c r="M15" s="9" t="s">
        <v>317</v>
      </c>
      <c r="N15" s="9" t="s">
        <v>317</v>
      </c>
      <c r="O15" s="9" t="s">
        <v>317</v>
      </c>
      <c r="P15" s="9" t="s">
        <v>41</v>
      </c>
      <c r="Q15" s="9" t="s">
        <v>41</v>
      </c>
      <c r="R15" s="9" t="s">
        <v>41</v>
      </c>
      <c r="S15" s="9" t="s">
        <v>319</v>
      </c>
    </row>
    <row r="16" customFormat="false" ht="64.9" hidden="false" customHeight="false" outlineLevel="0" collapsed="false">
      <c r="A16" s="8"/>
      <c r="B16" s="8" t="s">
        <v>320</v>
      </c>
      <c r="C16" s="9" t="s">
        <v>41</v>
      </c>
      <c r="D16" s="9" t="s">
        <v>321</v>
      </c>
      <c r="E16" s="9" t="s">
        <v>41</v>
      </c>
      <c r="F16" s="9" t="s">
        <v>41</v>
      </c>
      <c r="G16" s="9" t="s">
        <v>41</v>
      </c>
      <c r="H16" s="9" t="s">
        <v>41</v>
      </c>
      <c r="I16" s="9" t="s">
        <v>41</v>
      </c>
      <c r="J16" s="9" t="s">
        <v>322</v>
      </c>
      <c r="K16" s="9" t="s">
        <v>41</v>
      </c>
      <c r="L16" s="11" t="s">
        <v>323</v>
      </c>
      <c r="M16" s="9" t="s">
        <v>324</v>
      </c>
      <c r="N16" s="9" t="s">
        <v>325</v>
      </c>
      <c r="O16" s="9" t="s">
        <v>326</v>
      </c>
      <c r="P16" s="9" t="s">
        <v>41</v>
      </c>
      <c r="Q16" s="9" t="s">
        <v>41</v>
      </c>
      <c r="R16" s="9" t="s">
        <v>41</v>
      </c>
      <c r="S16" s="9" t="s">
        <v>327</v>
      </c>
    </row>
    <row r="17" customFormat="false" ht="39.55" hidden="false" customHeight="false" outlineLevel="0" collapsed="false">
      <c r="A17" s="8"/>
      <c r="B17" s="8" t="s">
        <v>328</v>
      </c>
      <c r="C17" s="9" t="s">
        <v>329</v>
      </c>
      <c r="D17" s="10" t="s">
        <v>330</v>
      </c>
      <c r="E17" s="9" t="s">
        <v>331</v>
      </c>
      <c r="F17" s="9" t="s">
        <v>332</v>
      </c>
      <c r="G17" s="9" t="s">
        <v>41</v>
      </c>
      <c r="H17" s="9" t="s">
        <v>41</v>
      </c>
      <c r="I17" s="9" t="s">
        <v>41</v>
      </c>
      <c r="J17" s="9" t="s">
        <v>41</v>
      </c>
      <c r="K17" s="9" t="s">
        <v>41</v>
      </c>
      <c r="L17" s="9" t="s">
        <v>41</v>
      </c>
      <c r="M17" s="9" t="s">
        <v>333</v>
      </c>
      <c r="N17" s="9" t="s">
        <v>41</v>
      </c>
      <c r="O17" s="9" t="s">
        <v>334</v>
      </c>
      <c r="P17" s="9" t="s">
        <v>41</v>
      </c>
      <c r="Q17" s="9" t="s">
        <v>41</v>
      </c>
      <c r="R17" s="9" t="s">
        <v>41</v>
      </c>
      <c r="S17" s="9" t="s">
        <v>41</v>
      </c>
    </row>
    <row r="18" customFormat="false" ht="26.85" hidden="false" customHeight="false" outlineLevel="0" collapsed="false">
      <c r="A18" s="8"/>
      <c r="B18" s="8" t="s">
        <v>335</v>
      </c>
      <c r="C18" s="9" t="s">
        <v>68</v>
      </c>
      <c r="D18" s="9" t="s">
        <v>336</v>
      </c>
      <c r="E18" s="9" t="s">
        <v>337</v>
      </c>
      <c r="F18" s="9" t="s">
        <v>41</v>
      </c>
      <c r="G18" s="9" t="s">
        <v>41</v>
      </c>
      <c r="H18" s="9" t="s">
        <v>338</v>
      </c>
      <c r="I18" s="9" t="s">
        <v>339</v>
      </c>
      <c r="J18" s="9" t="s">
        <v>340</v>
      </c>
      <c r="K18" s="9" t="s">
        <v>341</v>
      </c>
      <c r="L18" s="9" t="s">
        <v>342</v>
      </c>
      <c r="M18" s="9" t="s">
        <v>343</v>
      </c>
      <c r="N18" s="9" t="s">
        <v>344</v>
      </c>
      <c r="O18" s="9" t="s">
        <v>345</v>
      </c>
      <c r="P18" s="9" t="s">
        <v>41</v>
      </c>
      <c r="Q18" s="9" t="s">
        <v>41</v>
      </c>
      <c r="R18" s="9" t="s">
        <v>41</v>
      </c>
      <c r="S18" s="9" t="s">
        <v>346</v>
      </c>
    </row>
    <row r="19" customFormat="false" ht="64.9" hidden="false" customHeight="false" outlineLevel="0" collapsed="false">
      <c r="A19" s="8"/>
      <c r="B19" s="8" t="s">
        <v>347</v>
      </c>
      <c r="C19" s="9" t="s">
        <v>41</v>
      </c>
      <c r="D19" s="9" t="s">
        <v>348</v>
      </c>
      <c r="E19" s="9" t="s">
        <v>41</v>
      </c>
      <c r="F19" s="9" t="s">
        <v>41</v>
      </c>
      <c r="G19" s="9" t="s">
        <v>41</v>
      </c>
      <c r="H19" s="9" t="s">
        <v>349</v>
      </c>
      <c r="I19" s="9" t="s">
        <v>350</v>
      </c>
      <c r="J19" s="9" t="s">
        <v>350</v>
      </c>
      <c r="K19" s="9" t="s">
        <v>351</v>
      </c>
      <c r="L19" s="9" t="s">
        <v>41</v>
      </c>
      <c r="M19" s="9" t="s">
        <v>352</v>
      </c>
      <c r="N19" s="9" t="s">
        <v>353</v>
      </c>
      <c r="O19" s="9" t="s">
        <v>354</v>
      </c>
      <c r="P19" s="9" t="s">
        <v>41</v>
      </c>
      <c r="Q19" s="9" t="s">
        <v>41</v>
      </c>
      <c r="R19" s="9" t="s">
        <v>41</v>
      </c>
      <c r="S19" s="9" t="s">
        <v>355</v>
      </c>
    </row>
    <row r="20" customFormat="false" ht="26.85" hidden="false" customHeight="false" outlineLevel="0" collapsed="false">
      <c r="A20" s="4" t="s">
        <v>356</v>
      </c>
      <c r="B20" s="4" t="s">
        <v>21</v>
      </c>
      <c r="C20" s="5" t="s">
        <v>357</v>
      </c>
      <c r="D20" s="6" t="s">
        <v>358</v>
      </c>
      <c r="E20" s="5" t="s">
        <v>89</v>
      </c>
      <c r="F20" s="5" t="s">
        <v>89</v>
      </c>
      <c r="G20" s="5" t="s">
        <v>359</v>
      </c>
      <c r="H20" s="5" t="s">
        <v>359</v>
      </c>
      <c r="I20" s="5" t="s">
        <v>359</v>
      </c>
      <c r="J20" s="5" t="s">
        <v>360</v>
      </c>
      <c r="K20" s="5" t="s">
        <v>359</v>
      </c>
      <c r="L20" s="5" t="s">
        <v>359</v>
      </c>
      <c r="M20" s="5" t="s">
        <v>359</v>
      </c>
      <c r="N20" s="5" t="s">
        <v>361</v>
      </c>
      <c r="O20" s="5" t="s">
        <v>362</v>
      </c>
      <c r="P20" s="5" t="s">
        <v>359</v>
      </c>
      <c r="Q20" s="5" t="s">
        <v>359</v>
      </c>
      <c r="R20" s="5" t="s">
        <v>359</v>
      </c>
      <c r="S20" s="5" t="s">
        <v>359</v>
      </c>
    </row>
    <row r="21" customFormat="false" ht="39.55" hidden="false" customHeight="false" outlineLevel="0" collapsed="false">
      <c r="A21" s="8"/>
      <c r="B21" s="8" t="s">
        <v>363</v>
      </c>
      <c r="C21" s="9" t="s">
        <v>364</v>
      </c>
      <c r="D21" s="9" t="s">
        <v>365</v>
      </c>
      <c r="E21" s="10" t="s">
        <v>366</v>
      </c>
      <c r="F21" s="10" t="s">
        <v>366</v>
      </c>
      <c r="G21" s="10" t="s">
        <v>366</v>
      </c>
      <c r="H21" s="10" t="s">
        <v>366</v>
      </c>
      <c r="I21" s="10" t="s">
        <v>366</v>
      </c>
      <c r="J21" s="9" t="s">
        <v>367</v>
      </c>
      <c r="K21" s="10" t="s">
        <v>366</v>
      </c>
      <c r="L21" s="10" t="s">
        <v>366</v>
      </c>
      <c r="M21" s="10" t="s">
        <v>366</v>
      </c>
      <c r="N21" s="9" t="s">
        <v>368</v>
      </c>
      <c r="O21" s="9" t="s">
        <v>369</v>
      </c>
      <c r="P21" s="10" t="s">
        <v>366</v>
      </c>
      <c r="Q21" s="10" t="s">
        <v>366</v>
      </c>
      <c r="R21" s="10" t="s">
        <v>366</v>
      </c>
      <c r="S21" s="10" t="s">
        <v>366</v>
      </c>
    </row>
    <row r="22" customFormat="false" ht="15" hidden="false" customHeight="false" outlineLevel="0" collapsed="false">
      <c r="A22" s="8"/>
      <c r="B22" s="8" t="s">
        <v>85</v>
      </c>
      <c r="C22" s="10" t="s">
        <v>370</v>
      </c>
      <c r="D22" s="10" t="s">
        <v>371</v>
      </c>
      <c r="E22" s="10" t="s">
        <v>366</v>
      </c>
      <c r="F22" s="10" t="s">
        <v>366</v>
      </c>
      <c r="G22" s="10" t="s">
        <v>366</v>
      </c>
      <c r="H22" s="10" t="s">
        <v>366</v>
      </c>
      <c r="I22" s="10" t="s">
        <v>366</v>
      </c>
      <c r="J22" s="9" t="s">
        <v>90</v>
      </c>
      <c r="K22" s="10" t="s">
        <v>366</v>
      </c>
      <c r="L22" s="10" t="s">
        <v>366</v>
      </c>
      <c r="M22" s="10" t="s">
        <v>366</v>
      </c>
      <c r="N22" s="9" t="s">
        <v>372</v>
      </c>
      <c r="O22" s="9" t="s">
        <v>373</v>
      </c>
      <c r="P22" s="10" t="s">
        <v>366</v>
      </c>
      <c r="Q22" s="10" t="s">
        <v>366</v>
      </c>
      <c r="R22" s="10" t="s">
        <v>366</v>
      </c>
      <c r="S22" s="10" t="s">
        <v>366</v>
      </c>
    </row>
    <row r="23" customFormat="false" ht="15" hidden="false" customHeight="false" outlineLevel="0" collapsed="false">
      <c r="A23" s="8"/>
      <c r="B23" s="8" t="s">
        <v>374</v>
      </c>
      <c r="C23" s="9" t="s">
        <v>317</v>
      </c>
      <c r="D23" s="9" t="s">
        <v>317</v>
      </c>
      <c r="E23" s="10" t="s">
        <v>366</v>
      </c>
      <c r="F23" s="10" t="s">
        <v>366</v>
      </c>
      <c r="G23" s="10" t="s">
        <v>366</v>
      </c>
      <c r="H23" s="10" t="s">
        <v>366</v>
      </c>
      <c r="I23" s="10" t="s">
        <v>366</v>
      </c>
      <c r="J23" s="9" t="s">
        <v>41</v>
      </c>
      <c r="K23" s="10" t="s">
        <v>366</v>
      </c>
      <c r="L23" s="10" t="s">
        <v>366</v>
      </c>
      <c r="M23" s="10" t="s">
        <v>366</v>
      </c>
      <c r="N23" s="9" t="s">
        <v>375</v>
      </c>
      <c r="O23" s="9" t="s">
        <v>68</v>
      </c>
      <c r="P23" s="10" t="s">
        <v>366</v>
      </c>
      <c r="Q23" s="10" t="s">
        <v>366</v>
      </c>
      <c r="R23" s="10" t="s">
        <v>366</v>
      </c>
      <c r="S23" s="10" t="s">
        <v>366</v>
      </c>
    </row>
    <row r="24" customFormat="false" ht="52.2" hidden="false" customHeight="false" outlineLevel="0" collapsed="false">
      <c r="A24" s="8"/>
      <c r="B24" s="8" t="s">
        <v>92</v>
      </c>
      <c r="C24" s="9" t="s">
        <v>376</v>
      </c>
      <c r="D24" s="9" t="s">
        <v>377</v>
      </c>
      <c r="E24" s="10" t="s">
        <v>366</v>
      </c>
      <c r="F24" s="10" t="s">
        <v>366</v>
      </c>
      <c r="G24" s="10" t="s">
        <v>366</v>
      </c>
      <c r="H24" s="10" t="s">
        <v>366</v>
      </c>
      <c r="I24" s="10" t="s">
        <v>366</v>
      </c>
      <c r="J24" s="9" t="s">
        <v>378</v>
      </c>
      <c r="K24" s="10" t="s">
        <v>366</v>
      </c>
      <c r="L24" s="10" t="s">
        <v>366</v>
      </c>
      <c r="M24" s="10" t="s">
        <v>366</v>
      </c>
      <c r="N24" s="9" t="s">
        <v>379</v>
      </c>
      <c r="O24" s="9" t="s">
        <v>380</v>
      </c>
      <c r="P24" s="10" t="s">
        <v>366</v>
      </c>
      <c r="Q24" s="10" t="s">
        <v>366</v>
      </c>
      <c r="R24" s="10" t="s">
        <v>366</v>
      </c>
      <c r="S24" s="10" t="s">
        <v>366</v>
      </c>
    </row>
    <row r="25" customFormat="false" ht="52.2" hidden="false" customHeight="false" outlineLevel="0" collapsed="false">
      <c r="A25" s="8"/>
      <c r="B25" s="8" t="s">
        <v>259</v>
      </c>
      <c r="C25" s="9" t="s">
        <v>41</v>
      </c>
      <c r="D25" s="16" t="s">
        <v>381</v>
      </c>
      <c r="E25" s="10" t="s">
        <v>366</v>
      </c>
      <c r="F25" s="10" t="s">
        <v>366</v>
      </c>
      <c r="G25" s="10" t="s">
        <v>366</v>
      </c>
      <c r="H25" s="10" t="s">
        <v>366</v>
      </c>
      <c r="I25" s="10" t="s">
        <v>366</v>
      </c>
      <c r="J25" s="9" t="s">
        <v>382</v>
      </c>
      <c r="K25" s="7" t="s">
        <v>366</v>
      </c>
      <c r="L25" s="10" t="s">
        <v>366</v>
      </c>
      <c r="M25" s="7" t="s">
        <v>366</v>
      </c>
      <c r="N25" s="9" t="s">
        <v>383</v>
      </c>
      <c r="O25" s="9" t="s">
        <v>384</v>
      </c>
      <c r="P25" s="10" t="s">
        <v>366</v>
      </c>
      <c r="Q25" s="10" t="s">
        <v>366</v>
      </c>
      <c r="R25" s="10" t="s">
        <v>366</v>
      </c>
      <c r="S25" s="10" t="s">
        <v>366</v>
      </c>
    </row>
    <row r="26" customFormat="false" ht="39.55" hidden="false" customHeight="false" outlineLevel="0" collapsed="false">
      <c r="A26" s="8"/>
      <c r="B26" s="8" t="s">
        <v>385</v>
      </c>
      <c r="C26" s="9" t="s">
        <v>386</v>
      </c>
      <c r="D26" s="9" t="s">
        <v>387</v>
      </c>
      <c r="E26" s="10" t="s">
        <v>366</v>
      </c>
      <c r="F26" s="10" t="s">
        <v>366</v>
      </c>
      <c r="G26" s="10" t="s">
        <v>366</v>
      </c>
      <c r="H26" s="10" t="s">
        <v>366</v>
      </c>
      <c r="I26" s="10" t="s">
        <v>366</v>
      </c>
      <c r="J26" s="9" t="s">
        <v>388</v>
      </c>
      <c r="K26" s="10" t="s">
        <v>366</v>
      </c>
      <c r="L26" s="10" t="s">
        <v>366</v>
      </c>
      <c r="M26" s="10" t="s">
        <v>366</v>
      </c>
      <c r="N26" s="9" t="s">
        <v>68</v>
      </c>
      <c r="O26" s="9" t="s">
        <v>389</v>
      </c>
      <c r="P26" s="10" t="s">
        <v>366</v>
      </c>
      <c r="Q26" s="10" t="s">
        <v>366</v>
      </c>
      <c r="R26" s="10" t="s">
        <v>366</v>
      </c>
      <c r="S26" s="10" t="s">
        <v>366</v>
      </c>
    </row>
    <row r="27" customFormat="false" ht="52.2" hidden="false" customHeight="false" outlineLevel="0" collapsed="false">
      <c r="A27" s="8"/>
      <c r="B27" s="8" t="s">
        <v>390</v>
      </c>
      <c r="C27" s="9" t="s">
        <v>391</v>
      </c>
      <c r="D27" s="9" t="s">
        <v>68</v>
      </c>
      <c r="E27" s="10" t="s">
        <v>366</v>
      </c>
      <c r="F27" s="10" t="s">
        <v>366</v>
      </c>
      <c r="G27" s="10" t="s">
        <v>366</v>
      </c>
      <c r="H27" s="10" t="s">
        <v>366</v>
      </c>
      <c r="I27" s="10" t="s">
        <v>366</v>
      </c>
      <c r="J27" s="10" t="s">
        <v>392</v>
      </c>
      <c r="K27" s="10" t="s">
        <v>366</v>
      </c>
      <c r="L27" s="10" t="s">
        <v>366</v>
      </c>
      <c r="M27" s="10" t="s">
        <v>366</v>
      </c>
      <c r="N27" s="10" t="s">
        <v>393</v>
      </c>
      <c r="O27" s="9" t="s">
        <v>394</v>
      </c>
      <c r="P27" s="10" t="s">
        <v>366</v>
      </c>
      <c r="Q27" s="10" t="s">
        <v>366</v>
      </c>
      <c r="R27" s="10" t="s">
        <v>366</v>
      </c>
      <c r="S27" s="10" t="s">
        <v>366</v>
      </c>
    </row>
    <row r="28" customFormat="false" ht="77.6" hidden="false" customHeight="false" outlineLevel="0" collapsed="false">
      <c r="A28" s="8"/>
      <c r="B28" s="8" t="s">
        <v>395</v>
      </c>
      <c r="C28" s="9" t="s">
        <v>396</v>
      </c>
      <c r="D28" s="9" t="s">
        <v>68</v>
      </c>
      <c r="E28" s="10" t="s">
        <v>366</v>
      </c>
      <c r="F28" s="10" t="s">
        <v>366</v>
      </c>
      <c r="G28" s="10" t="s">
        <v>366</v>
      </c>
      <c r="H28" s="10" t="s">
        <v>366</v>
      </c>
      <c r="I28" s="10" t="s">
        <v>366</v>
      </c>
      <c r="J28" s="9" t="s">
        <v>397</v>
      </c>
      <c r="K28" s="10" t="s">
        <v>366</v>
      </c>
      <c r="L28" s="10" t="s">
        <v>366</v>
      </c>
      <c r="M28" s="10" t="s">
        <v>366</v>
      </c>
      <c r="N28" s="9" t="s">
        <v>398</v>
      </c>
      <c r="O28" s="9" t="s">
        <v>399</v>
      </c>
      <c r="P28" s="10" t="s">
        <v>366</v>
      </c>
      <c r="Q28" s="10" t="s">
        <v>366</v>
      </c>
      <c r="R28" s="10" t="s">
        <v>366</v>
      </c>
      <c r="S28" s="10" t="s">
        <v>366</v>
      </c>
    </row>
    <row r="29" customFormat="false" ht="26.85" hidden="false" customHeight="false" outlineLevel="0" collapsed="false">
      <c r="A29" s="8"/>
      <c r="B29" s="8" t="s">
        <v>400</v>
      </c>
      <c r="C29" s="9" t="s">
        <v>41</v>
      </c>
      <c r="D29" s="9" t="s">
        <v>401</v>
      </c>
      <c r="E29" s="10" t="s">
        <v>366</v>
      </c>
      <c r="F29" s="10" t="s">
        <v>366</v>
      </c>
      <c r="G29" s="10" t="s">
        <v>366</v>
      </c>
      <c r="H29" s="10" t="s">
        <v>366</v>
      </c>
      <c r="I29" s="10" t="s">
        <v>366</v>
      </c>
      <c r="J29" s="9" t="s">
        <v>41</v>
      </c>
      <c r="K29" s="10" t="s">
        <v>366</v>
      </c>
      <c r="L29" s="10" t="s">
        <v>366</v>
      </c>
      <c r="M29" s="10" t="s">
        <v>366</v>
      </c>
      <c r="N29" s="9" t="s">
        <v>41</v>
      </c>
      <c r="O29" s="9" t="s">
        <v>41</v>
      </c>
      <c r="P29" s="10" t="s">
        <v>366</v>
      </c>
      <c r="Q29" s="10" t="s">
        <v>366</v>
      </c>
      <c r="R29" s="10" t="s">
        <v>366</v>
      </c>
      <c r="S29" s="10" t="s">
        <v>366</v>
      </c>
    </row>
    <row r="30" customFormat="false" ht="26.85" hidden="false" customHeight="false" outlineLevel="0" collapsed="false">
      <c r="A30" s="8"/>
      <c r="B30" s="8" t="s">
        <v>402</v>
      </c>
      <c r="C30" s="10" t="s">
        <v>403</v>
      </c>
      <c r="D30" s="10" t="s">
        <v>404</v>
      </c>
      <c r="E30" s="10" t="s">
        <v>366</v>
      </c>
      <c r="F30" s="10" t="s">
        <v>366</v>
      </c>
      <c r="G30" s="10" t="s">
        <v>366</v>
      </c>
      <c r="H30" s="10" t="s">
        <v>366</v>
      </c>
      <c r="I30" s="10" t="s">
        <v>366</v>
      </c>
      <c r="J30" s="9" t="s">
        <v>405</v>
      </c>
      <c r="K30" s="10" t="s">
        <v>366</v>
      </c>
      <c r="L30" s="10" t="s">
        <v>366</v>
      </c>
      <c r="M30" s="10" t="s">
        <v>366</v>
      </c>
      <c r="N30" s="9" t="s">
        <v>406</v>
      </c>
      <c r="O30" s="9" t="s">
        <v>68</v>
      </c>
      <c r="P30" s="10" t="s">
        <v>366</v>
      </c>
      <c r="Q30" s="10" t="s">
        <v>366</v>
      </c>
      <c r="R30" s="10" t="s">
        <v>366</v>
      </c>
      <c r="S30" s="10" t="s">
        <v>366</v>
      </c>
    </row>
    <row r="31" customFormat="false" ht="52.2" hidden="false" customHeight="false" outlineLevel="0" collapsed="false">
      <c r="A31" s="8"/>
      <c r="B31" s="8" t="s">
        <v>407</v>
      </c>
      <c r="C31" s="9" t="s">
        <v>408</v>
      </c>
      <c r="D31" s="9" t="s">
        <v>68</v>
      </c>
      <c r="E31" s="10" t="s">
        <v>366</v>
      </c>
      <c r="F31" s="10" t="s">
        <v>366</v>
      </c>
      <c r="G31" s="10" t="s">
        <v>366</v>
      </c>
      <c r="H31" s="10" t="s">
        <v>366</v>
      </c>
      <c r="I31" s="10" t="s">
        <v>366</v>
      </c>
      <c r="J31" s="9" t="s">
        <v>68</v>
      </c>
      <c r="K31" s="10" t="s">
        <v>366</v>
      </c>
      <c r="L31" s="10" t="s">
        <v>366</v>
      </c>
      <c r="M31" s="10" t="s">
        <v>366</v>
      </c>
      <c r="N31" s="9" t="s">
        <v>68</v>
      </c>
      <c r="O31" s="9" t="s">
        <v>68</v>
      </c>
      <c r="P31" s="10" t="s">
        <v>366</v>
      </c>
      <c r="Q31" s="10" t="s">
        <v>366</v>
      </c>
      <c r="R31" s="10" t="s">
        <v>366</v>
      </c>
      <c r="S31" s="10" t="s">
        <v>366</v>
      </c>
    </row>
    <row r="32" customFormat="false" ht="39.55" hidden="false" customHeight="false" outlineLevel="0" collapsed="false">
      <c r="A32" s="8"/>
      <c r="B32" s="8" t="s">
        <v>409</v>
      </c>
      <c r="C32" s="9" t="s">
        <v>89</v>
      </c>
      <c r="D32" s="10" t="s">
        <v>410</v>
      </c>
      <c r="E32" s="10" t="s">
        <v>366</v>
      </c>
      <c r="F32" s="10" t="s">
        <v>366</v>
      </c>
      <c r="G32" s="10" t="s">
        <v>366</v>
      </c>
      <c r="H32" s="10" t="s">
        <v>366</v>
      </c>
      <c r="I32" s="10" t="s">
        <v>366</v>
      </c>
      <c r="J32" s="10" t="s">
        <v>411</v>
      </c>
      <c r="K32" s="10" t="s">
        <v>366</v>
      </c>
      <c r="L32" s="10" t="s">
        <v>366</v>
      </c>
      <c r="M32" s="10" t="s">
        <v>366</v>
      </c>
      <c r="N32" s="9" t="s">
        <v>412</v>
      </c>
      <c r="O32" s="9" t="s">
        <v>73</v>
      </c>
      <c r="P32" s="10" t="s">
        <v>366</v>
      </c>
      <c r="Q32" s="10" t="s">
        <v>366</v>
      </c>
      <c r="R32" s="10" t="s">
        <v>366</v>
      </c>
      <c r="S32" s="10" t="s">
        <v>366</v>
      </c>
    </row>
    <row r="34" customFormat="false" ht="15" hidden="false" customHeight="false" outlineLevel="0" collapsed="false">
      <c r="A34" s="13" t="s">
        <v>172</v>
      </c>
    </row>
    <row r="35" customFormat="false" ht="15" hidden="false" customHeight="false" outlineLevel="0" collapsed="false">
      <c r="A35" s="14" t="s">
        <v>413</v>
      </c>
    </row>
    <row r="36" customFormat="false" ht="15" hidden="false" customHeight="false" outlineLevel="0" collapsed="false">
      <c r="A36" s="14" t="s">
        <v>414</v>
      </c>
    </row>
    <row r="37" customFormat="false" ht="15" hidden="false" customHeight="false" outlineLevel="0" collapsed="false">
      <c r="A37" s="14" t="s">
        <v>415</v>
      </c>
    </row>
    <row r="38" customFormat="false" ht="15" hidden="false" customHeight="false" outlineLevel="0" collapsed="false">
      <c r="A38" s="14" t="s">
        <v>416</v>
      </c>
    </row>
    <row r="39" customFormat="false" ht="15" hidden="false" customHeight="false" outlineLevel="0" collapsed="false">
      <c r="A39" s="14" t="s">
        <v>417</v>
      </c>
    </row>
    <row r="40" customFormat="false" ht="15" hidden="false" customHeight="false" outlineLevel="0" collapsed="false">
      <c r="A40" s="14" t="s">
        <v>418</v>
      </c>
    </row>
    <row r="41" customFormat="false" ht="15" hidden="false" customHeight="false" outlineLevel="0" collapsed="false">
      <c r="A41" s="14" t="s">
        <v>419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3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7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11"/>
    <col collapsed="false" customWidth="true" hidden="false" outlineLevel="0" max="9" min="9" style="0" width="13"/>
  </cols>
  <sheetData>
    <row r="1" customFormat="false" ht="19.4" hidden="false" customHeight="false" outlineLevel="0" collapsed="false">
      <c r="A1" s="1" t="s">
        <v>420</v>
      </c>
    </row>
    <row r="2" customFormat="false" ht="15" hidden="false" customHeight="false" outlineLevel="0" collapsed="false">
      <c r="A2" s="2" t="s">
        <v>421</v>
      </c>
    </row>
    <row r="4" customFormat="false" ht="15" hidden="false" customHeight="false" outlineLevel="0" collapsed="false">
      <c r="A4" s="13" t="s">
        <v>422</v>
      </c>
    </row>
    <row r="5" customFormat="false" ht="15" hidden="false" customHeight="false" outlineLevel="0" collapsed="false">
      <c r="A5" s="17" t="s">
        <v>423</v>
      </c>
      <c r="B5" s="18" t="n">
        <v>0.6</v>
      </c>
      <c r="C5" s="2" t="s">
        <v>424</v>
      </c>
      <c r="D5" s="2" t="s">
        <v>425</v>
      </c>
    </row>
    <row r="6" customFormat="false" ht="15" hidden="false" customHeight="false" outlineLevel="0" collapsed="false">
      <c r="A6" s="17" t="s">
        <v>426</v>
      </c>
      <c r="B6" s="18" t="n">
        <v>7</v>
      </c>
      <c r="C6" s="2" t="s">
        <v>424</v>
      </c>
      <c r="D6" s="2" t="s">
        <v>427</v>
      </c>
    </row>
    <row r="7" customFormat="false" ht="15" hidden="false" customHeight="false" outlineLevel="0" collapsed="false">
      <c r="A7" s="17" t="s">
        <v>428</v>
      </c>
      <c r="B7" s="18" t="n">
        <v>0</v>
      </c>
      <c r="C7" s="2" t="s">
        <v>424</v>
      </c>
      <c r="D7" s="2" t="s">
        <v>429</v>
      </c>
    </row>
    <row r="8" customFormat="false" ht="15" hidden="false" customHeight="false" outlineLevel="0" collapsed="false">
      <c r="A8" s="17" t="s">
        <v>430</v>
      </c>
      <c r="B8" s="18" t="n">
        <v>0</v>
      </c>
      <c r="C8" s="2" t="s">
        <v>424</v>
      </c>
      <c r="D8" s="2" t="s">
        <v>431</v>
      </c>
    </row>
    <row r="9" customFormat="false" ht="15" hidden="false" customHeight="false" outlineLevel="0" collapsed="false">
      <c r="A9" s="17" t="s">
        <v>432</v>
      </c>
      <c r="B9" s="18" t="n">
        <v>0</v>
      </c>
      <c r="C9" s="2" t="s">
        <v>424</v>
      </c>
      <c r="D9" s="2" t="s">
        <v>433</v>
      </c>
    </row>
    <row r="10" customFormat="false" ht="15" hidden="false" customHeight="false" outlineLevel="0" collapsed="false">
      <c r="A10" s="17" t="s">
        <v>434</v>
      </c>
      <c r="B10" s="18" t="n">
        <v>0</v>
      </c>
      <c r="C10" s="2" t="s">
        <v>424</v>
      </c>
      <c r="D10" s="2" t="s">
        <v>435</v>
      </c>
    </row>
    <row r="11" customFormat="false" ht="15" hidden="false" customHeight="false" outlineLevel="0" collapsed="false">
      <c r="A11" s="17" t="s">
        <v>436</v>
      </c>
      <c r="B11" s="18" t="n">
        <v>1</v>
      </c>
      <c r="C11" s="2" t="s">
        <v>424</v>
      </c>
      <c r="D11" s="2" t="s">
        <v>437</v>
      </c>
    </row>
    <row r="13" customFormat="false" ht="31.5" hidden="false" customHeight="true" outlineLevel="0" collapsed="false">
      <c r="A13" s="3" t="s">
        <v>438</v>
      </c>
      <c r="B13" s="3" t="s">
        <v>439</v>
      </c>
      <c r="C13" s="3" t="s">
        <v>440</v>
      </c>
      <c r="D13" s="3" t="s">
        <v>356</v>
      </c>
      <c r="E13" s="3" t="s">
        <v>441</v>
      </c>
      <c r="F13" s="3" t="s">
        <v>442</v>
      </c>
      <c r="G13" s="3" t="s">
        <v>443</v>
      </c>
      <c r="H13" s="3" t="s">
        <v>444</v>
      </c>
      <c r="I13" s="3" t="s">
        <v>445</v>
      </c>
    </row>
    <row r="14" customFormat="false" ht="15" hidden="false" customHeight="false" outlineLevel="0" collapsed="false">
      <c r="A14" s="19" t="s">
        <v>4</v>
      </c>
      <c r="B14" s="20" t="s">
        <v>446</v>
      </c>
      <c r="C14" s="21" t="n">
        <v>20</v>
      </c>
      <c r="D14" s="21" t="n">
        <v>21</v>
      </c>
      <c r="E14" s="21" t="n">
        <v>22</v>
      </c>
      <c r="F14" s="22" t="n">
        <f aca="false">C14*$B$5</f>
        <v>12</v>
      </c>
      <c r="G14" s="22" t="n">
        <f aca="false">D14*$B$5</f>
        <v>12.6</v>
      </c>
      <c r="H14" s="22" t="n">
        <f aca="false">E14*$B$5</f>
        <v>13.2</v>
      </c>
      <c r="I14" s="23" t="n">
        <f aca="false">IF(C14=0,"",E14/C14-1)</f>
        <v>0.1</v>
      </c>
    </row>
    <row r="15" customFormat="false" ht="15" hidden="false" customHeight="false" outlineLevel="0" collapsed="false">
      <c r="A15" s="19" t="s">
        <v>4</v>
      </c>
      <c r="B15" s="20" t="s">
        <v>447</v>
      </c>
      <c r="C15" s="21" t="n">
        <v>12</v>
      </c>
      <c r="D15" s="21" t="n">
        <v>13</v>
      </c>
      <c r="E15" s="21" t="n">
        <v>14</v>
      </c>
      <c r="F15" s="22" t="n">
        <f aca="false">C15*$B$5</f>
        <v>7.2</v>
      </c>
      <c r="G15" s="22" t="n">
        <f aca="false">D15*$B$5</f>
        <v>7.8</v>
      </c>
      <c r="H15" s="22" t="n">
        <f aca="false">E15*$B$5</f>
        <v>8.4</v>
      </c>
      <c r="I15" s="23" t="n">
        <f aca="false">IF(C15=0,"",E15/C15-1)</f>
        <v>0.166666666666667</v>
      </c>
    </row>
    <row r="16" customFormat="false" ht="15" hidden="false" customHeight="false" outlineLevel="0" collapsed="false">
      <c r="A16" s="19" t="s">
        <v>4</v>
      </c>
      <c r="B16" s="20" t="s">
        <v>448</v>
      </c>
      <c r="C16" s="21" t="n">
        <v>10</v>
      </c>
      <c r="D16" s="21" t="n">
        <v>11</v>
      </c>
      <c r="E16" s="21" t="n">
        <v>12</v>
      </c>
      <c r="F16" s="22" t="n">
        <f aca="false">C16*$B$5</f>
        <v>6</v>
      </c>
      <c r="G16" s="22" t="n">
        <f aca="false">D16*$B$5</f>
        <v>6.6</v>
      </c>
      <c r="H16" s="22" t="n">
        <f aca="false">E16*$B$5</f>
        <v>7.2</v>
      </c>
      <c r="I16" s="23" t="n">
        <f aca="false">IF(C16=0,"",E16/C16-1)</f>
        <v>0.2</v>
      </c>
    </row>
    <row r="17" customFormat="false" ht="15" hidden="false" customHeight="false" outlineLevel="0" collapsed="false">
      <c r="A17" s="19" t="s">
        <v>4</v>
      </c>
      <c r="B17" s="20" t="s">
        <v>449</v>
      </c>
      <c r="C17" s="21" t="n">
        <v>10</v>
      </c>
      <c r="D17" s="21" t="n">
        <v>11</v>
      </c>
      <c r="E17" s="21" t="n">
        <v>12</v>
      </c>
      <c r="F17" s="22" t="n">
        <f aca="false">C17*$B$5</f>
        <v>6</v>
      </c>
      <c r="G17" s="22" t="n">
        <f aca="false">D17*$B$5</f>
        <v>6.6</v>
      </c>
      <c r="H17" s="22" t="n">
        <f aca="false">E17*$B$5</f>
        <v>7.2</v>
      </c>
      <c r="I17" s="23" t="n">
        <f aca="false">IF(C17=0,"",E17/C17-1)</f>
        <v>0.2</v>
      </c>
    </row>
    <row r="18" customFormat="false" ht="15" hidden="false" customHeight="false" outlineLevel="0" collapsed="false">
      <c r="A18" s="19" t="s">
        <v>4</v>
      </c>
      <c r="B18" s="20" t="s">
        <v>450</v>
      </c>
      <c r="C18" s="21" t="n">
        <v>8</v>
      </c>
      <c r="D18" s="21" t="n">
        <v>9</v>
      </c>
      <c r="E18" s="21" t="n">
        <v>10</v>
      </c>
      <c r="F18" s="22" t="n">
        <f aca="false">C18*$B$5</f>
        <v>4.8</v>
      </c>
      <c r="G18" s="22" t="n">
        <f aca="false">D18*$B$5</f>
        <v>5.4</v>
      </c>
      <c r="H18" s="22" t="n">
        <f aca="false">E18*$B$5</f>
        <v>6</v>
      </c>
      <c r="I18" s="23" t="n">
        <f aca="false">IF(C18=0,"",E18/C18-1)</f>
        <v>0.25</v>
      </c>
    </row>
    <row r="19" customFormat="false" ht="15" hidden="false" customHeight="false" outlineLevel="0" collapsed="false">
      <c r="A19" s="19" t="s">
        <v>4</v>
      </c>
      <c r="B19" s="20" t="s">
        <v>451</v>
      </c>
      <c r="C19" s="21" t="n">
        <v>6</v>
      </c>
      <c r="D19" s="21" t="n">
        <v>7</v>
      </c>
      <c r="E19" s="21" t="n">
        <v>8</v>
      </c>
      <c r="F19" s="22" t="n">
        <f aca="false">C19*$B$5</f>
        <v>3.6</v>
      </c>
      <c r="G19" s="22" t="n">
        <f aca="false">D19*$B$5</f>
        <v>4.2</v>
      </c>
      <c r="H19" s="22" t="n">
        <f aca="false">E19*$B$5</f>
        <v>4.8</v>
      </c>
      <c r="I19" s="23" t="n">
        <f aca="false">IF(C19=0,"",E19/C19-1)</f>
        <v>0.333333333333333</v>
      </c>
    </row>
    <row r="20" customFormat="false" ht="15" hidden="false" customHeight="false" outlineLevel="0" collapsed="false">
      <c r="A20" s="19" t="s">
        <v>4</v>
      </c>
      <c r="B20" s="20" t="s">
        <v>452</v>
      </c>
      <c r="C20" s="21" t="n">
        <v>5</v>
      </c>
      <c r="D20" s="21" t="n">
        <v>6</v>
      </c>
      <c r="E20" s="21" t="n">
        <v>7</v>
      </c>
      <c r="F20" s="22" t="n">
        <f aca="false">C20*$B$5</f>
        <v>3</v>
      </c>
      <c r="G20" s="22" t="n">
        <f aca="false">D20*$B$5</f>
        <v>3.6</v>
      </c>
      <c r="H20" s="22" t="n">
        <f aca="false">E20*$B$5</f>
        <v>4.2</v>
      </c>
      <c r="I20" s="23" t="n">
        <f aca="false">IF(C20=0,"",E20/C20-1)</f>
        <v>0.4</v>
      </c>
    </row>
    <row r="21" customFormat="false" ht="15" hidden="false" customHeight="false" outlineLevel="0" collapsed="false">
      <c r="A21" s="19" t="s">
        <v>4</v>
      </c>
      <c r="B21" s="20" t="s">
        <v>453</v>
      </c>
      <c r="C21" s="21" t="n">
        <v>4</v>
      </c>
      <c r="D21" s="21" t="n">
        <v>5</v>
      </c>
      <c r="E21" s="21" t="n">
        <v>6</v>
      </c>
      <c r="F21" s="22" t="n">
        <f aca="false">C21*$B$5</f>
        <v>2.4</v>
      </c>
      <c r="G21" s="22" t="n">
        <f aca="false">D21*$B$5</f>
        <v>3</v>
      </c>
      <c r="H21" s="22" t="n">
        <f aca="false">E21*$B$5</f>
        <v>3.6</v>
      </c>
      <c r="I21" s="23" t="n">
        <f aca="false">IF(C21=0,"",E21/C21-1)</f>
        <v>0.5</v>
      </c>
    </row>
    <row r="22" customFormat="false" ht="15" hidden="false" customHeight="false" outlineLevel="0" collapsed="false">
      <c r="A22" s="19" t="s">
        <v>4</v>
      </c>
      <c r="B22" s="20" t="s">
        <v>454</v>
      </c>
      <c r="C22" s="21" t="n">
        <v>4</v>
      </c>
      <c r="D22" s="21" t="n">
        <v>4</v>
      </c>
      <c r="E22" s="21" t="n">
        <v>4</v>
      </c>
      <c r="F22" s="22" t="n">
        <f aca="false">C22*$B$5</f>
        <v>2.4</v>
      </c>
      <c r="G22" s="22" t="n">
        <f aca="false">D22*$B$5</f>
        <v>2.4</v>
      </c>
      <c r="H22" s="22" t="n">
        <f aca="false">E22*$B$5</f>
        <v>2.4</v>
      </c>
      <c r="I22" s="23" t="n">
        <f aca="false">IF(C22=0,"",E22/C22-1)</f>
        <v>0</v>
      </c>
    </row>
    <row r="23" customFormat="false" ht="15" hidden="false" customHeight="false" outlineLevel="0" collapsed="false">
      <c r="A23" s="19" t="s">
        <v>4</v>
      </c>
      <c r="B23" s="20" t="s">
        <v>455</v>
      </c>
      <c r="C23" s="21" t="n">
        <v>3</v>
      </c>
      <c r="D23" s="21" t="n">
        <v>4</v>
      </c>
      <c r="E23" s="21" t="n">
        <v>5</v>
      </c>
      <c r="F23" s="22" t="n">
        <f aca="false">C23*$B$5</f>
        <v>1.8</v>
      </c>
      <c r="G23" s="22" t="n">
        <f aca="false">D23*$B$5</f>
        <v>2.4</v>
      </c>
      <c r="H23" s="22" t="n">
        <f aca="false">E23*$B$5</f>
        <v>3</v>
      </c>
      <c r="I23" s="23" t="n">
        <f aca="false">IF(C23=0,"",E23/C23-1)</f>
        <v>0.666666666666667</v>
      </c>
    </row>
    <row r="24" customFormat="false" ht="15" hidden="false" customHeight="false" outlineLevel="0" collapsed="false">
      <c r="A24" s="19" t="s">
        <v>4</v>
      </c>
      <c r="B24" s="20" t="s">
        <v>456</v>
      </c>
      <c r="C24" s="21" t="n">
        <v>3</v>
      </c>
      <c r="D24" s="21" t="n">
        <v>3</v>
      </c>
      <c r="E24" s="21" t="n">
        <v>3</v>
      </c>
      <c r="F24" s="22" t="n">
        <f aca="false">C24*$B$5</f>
        <v>1.8</v>
      </c>
      <c r="G24" s="22" t="n">
        <f aca="false">D24*$B$5</f>
        <v>1.8</v>
      </c>
      <c r="H24" s="22" t="n">
        <f aca="false">E24*$B$5</f>
        <v>1.8</v>
      </c>
      <c r="I24" s="23" t="n">
        <f aca="false">IF(C24=0,"",E24/C24-1)</f>
        <v>0</v>
      </c>
    </row>
    <row r="25" customFormat="false" ht="15" hidden="false" customHeight="false" outlineLevel="0" collapsed="false">
      <c r="A25" s="19" t="s">
        <v>4</v>
      </c>
      <c r="B25" s="20" t="s">
        <v>457</v>
      </c>
      <c r="C25" s="21" t="n">
        <v>2</v>
      </c>
      <c r="D25" s="21" t="n">
        <v>2</v>
      </c>
      <c r="E25" s="21" t="n">
        <v>3</v>
      </c>
      <c r="F25" s="22" t="n">
        <f aca="false">C25*$B$5</f>
        <v>1.2</v>
      </c>
      <c r="G25" s="22" t="n">
        <f aca="false">D25*$B$5</f>
        <v>1.2</v>
      </c>
      <c r="H25" s="22" t="n">
        <f aca="false">E25*$B$5</f>
        <v>1.8</v>
      </c>
      <c r="I25" s="23" t="n">
        <f aca="false">IF(C25=0,"",E25/C25-1)</f>
        <v>0.5</v>
      </c>
    </row>
    <row r="26" customFormat="false" ht="15" hidden="false" customHeight="false" outlineLevel="0" collapsed="false">
      <c r="A26" s="19" t="s">
        <v>4</v>
      </c>
      <c r="B26" s="20" t="s">
        <v>458</v>
      </c>
      <c r="C26" s="21" t="n">
        <v>2</v>
      </c>
      <c r="D26" s="21" t="n">
        <v>3</v>
      </c>
      <c r="E26" s="21" t="n">
        <v>3</v>
      </c>
      <c r="F26" s="22" t="n">
        <f aca="false">C26*$B$5</f>
        <v>1.2</v>
      </c>
      <c r="G26" s="22" t="n">
        <f aca="false">D26*$B$5</f>
        <v>1.8</v>
      </c>
      <c r="H26" s="22" t="n">
        <f aca="false">E26*$B$5</f>
        <v>1.8</v>
      </c>
      <c r="I26" s="23" t="n">
        <f aca="false">IF(C26=0,"",E26/C26-1)</f>
        <v>0.5</v>
      </c>
    </row>
    <row r="27" customFormat="false" ht="15" hidden="false" customHeight="false" outlineLevel="0" collapsed="false">
      <c r="A27" s="19" t="s">
        <v>4</v>
      </c>
      <c r="B27" s="20" t="s">
        <v>459</v>
      </c>
      <c r="C27" s="21" t="n">
        <v>2</v>
      </c>
      <c r="D27" s="21" t="n">
        <v>3</v>
      </c>
      <c r="E27" s="21" t="n">
        <v>4</v>
      </c>
      <c r="F27" s="22" t="n">
        <f aca="false">C27*$B$5</f>
        <v>1.2</v>
      </c>
      <c r="G27" s="22" t="n">
        <f aca="false">D27*$B$5</f>
        <v>1.8</v>
      </c>
      <c r="H27" s="22" t="n">
        <f aca="false">E27*$B$5</f>
        <v>2.4</v>
      </c>
      <c r="I27" s="23" t="n">
        <f aca="false">IF(C27=0,"",E27/C27-1)</f>
        <v>1</v>
      </c>
    </row>
    <row r="28" customFormat="false" ht="15" hidden="false" customHeight="false" outlineLevel="0" collapsed="false">
      <c r="A28" s="19" t="s">
        <v>4</v>
      </c>
      <c r="B28" s="20" t="s">
        <v>460</v>
      </c>
      <c r="C28" s="21" t="n">
        <v>2</v>
      </c>
      <c r="D28" s="21" t="n">
        <v>2</v>
      </c>
      <c r="E28" s="21" t="n">
        <v>2</v>
      </c>
      <c r="F28" s="22" t="n">
        <f aca="false">C28*$B$5</f>
        <v>1.2</v>
      </c>
      <c r="G28" s="22" t="n">
        <f aca="false">D28*$B$5</f>
        <v>1.2</v>
      </c>
      <c r="H28" s="22" t="n">
        <f aca="false">E28*$B$5</f>
        <v>1.2</v>
      </c>
      <c r="I28" s="23" t="n">
        <f aca="false">IF(C28=0,"",E28/C28-1)</f>
        <v>0</v>
      </c>
    </row>
    <row r="29" customFormat="false" ht="15" hidden="false" customHeight="false" outlineLevel="0" collapsed="false">
      <c r="A29" s="19" t="s">
        <v>4</v>
      </c>
      <c r="B29" s="20" t="s">
        <v>461</v>
      </c>
      <c r="C29" s="21" t="n">
        <v>1</v>
      </c>
      <c r="D29" s="21" t="n">
        <v>1</v>
      </c>
      <c r="E29" s="21" t="n">
        <v>1</v>
      </c>
      <c r="F29" s="22" t="n">
        <f aca="false">C29*$B$5</f>
        <v>0.6</v>
      </c>
      <c r="G29" s="22" t="n">
        <f aca="false">D29*$B$5</f>
        <v>0.6</v>
      </c>
      <c r="H29" s="22" t="n">
        <f aca="false">E29*$B$5</f>
        <v>0.6</v>
      </c>
      <c r="I29" s="23" t="n">
        <f aca="false">IF(C29=0,"",E29/C29-1)</f>
        <v>0</v>
      </c>
    </row>
    <row r="30" customFormat="false" ht="15" hidden="false" customHeight="false" outlineLevel="0" collapsed="false">
      <c r="A30" s="19" t="s">
        <v>6</v>
      </c>
      <c r="B30" s="20" t="s">
        <v>462</v>
      </c>
      <c r="C30" s="21" t="n">
        <v>3</v>
      </c>
      <c r="D30" s="24" t="s">
        <v>366</v>
      </c>
      <c r="E30" s="21" t="n">
        <v>3</v>
      </c>
      <c r="F30" s="22" t="n">
        <f aca="false">C30*$B$6</f>
        <v>21</v>
      </c>
      <c r="G30" s="22" t="s">
        <v>366</v>
      </c>
      <c r="H30" s="22" t="n">
        <f aca="false">E30*$B$6</f>
        <v>21</v>
      </c>
      <c r="I30" s="23" t="n">
        <f aca="false">IF(C30=0,"",E30/C30-1)</f>
        <v>0</v>
      </c>
    </row>
    <row r="31" customFormat="false" ht="15" hidden="false" customHeight="false" outlineLevel="0" collapsed="false">
      <c r="A31" s="19" t="s">
        <v>6</v>
      </c>
      <c r="B31" s="20" t="s">
        <v>463</v>
      </c>
      <c r="C31" s="21" t="n">
        <v>3</v>
      </c>
      <c r="D31" s="24" t="s">
        <v>366</v>
      </c>
      <c r="E31" s="21" t="n">
        <v>3</v>
      </c>
      <c r="F31" s="22" t="n">
        <f aca="false">C31*$B$6</f>
        <v>21</v>
      </c>
      <c r="G31" s="22" t="s">
        <v>366</v>
      </c>
      <c r="H31" s="22" t="n">
        <f aca="false">E31*$B$6</f>
        <v>21</v>
      </c>
      <c r="I31" s="23" t="n">
        <f aca="false">IF(C31=0,"",E31/C31-1)</f>
        <v>0</v>
      </c>
    </row>
    <row r="32" customFormat="false" ht="15" hidden="false" customHeight="false" outlineLevel="0" collapsed="false">
      <c r="A32" s="19" t="s">
        <v>6</v>
      </c>
      <c r="B32" s="20" t="s">
        <v>464</v>
      </c>
      <c r="C32" s="21" t="n">
        <v>2</v>
      </c>
      <c r="D32" s="24" t="s">
        <v>366</v>
      </c>
      <c r="E32" s="21" t="n">
        <v>2</v>
      </c>
      <c r="F32" s="22" t="n">
        <f aca="false">C32*$B$6</f>
        <v>14</v>
      </c>
      <c r="G32" s="22" t="s">
        <v>366</v>
      </c>
      <c r="H32" s="22" t="n">
        <f aca="false">E32*$B$6</f>
        <v>14</v>
      </c>
      <c r="I32" s="23" t="n">
        <f aca="false">IF(C32=0,"",E32/C32-1)</f>
        <v>0</v>
      </c>
    </row>
    <row r="33" customFormat="false" ht="15" hidden="false" customHeight="false" outlineLevel="0" collapsed="false">
      <c r="A33" s="19" t="s">
        <v>6</v>
      </c>
      <c r="B33" s="20" t="s">
        <v>465</v>
      </c>
      <c r="C33" s="21" t="n">
        <v>0.6</v>
      </c>
      <c r="D33" s="24" t="s">
        <v>366</v>
      </c>
      <c r="E33" s="21" t="n">
        <v>0.6</v>
      </c>
      <c r="F33" s="22" t="n">
        <f aca="false">C33*$B$6</f>
        <v>4.2</v>
      </c>
      <c r="G33" s="22" t="s">
        <v>366</v>
      </c>
      <c r="H33" s="22" t="n">
        <f aca="false">E33*$B$6</f>
        <v>4.2</v>
      </c>
      <c r="I33" s="23" t="n">
        <f aca="false">IF(C33=0,"",E33/C33-1)</f>
        <v>0</v>
      </c>
    </row>
    <row r="34" customFormat="false" ht="15" hidden="false" customHeight="false" outlineLevel="0" collapsed="false">
      <c r="A34" s="25" t="s">
        <v>13</v>
      </c>
      <c r="B34" s="26" t="s">
        <v>466</v>
      </c>
      <c r="C34" s="27" t="s">
        <v>366</v>
      </c>
      <c r="D34" s="27" t="s">
        <v>366</v>
      </c>
      <c r="E34" s="27" t="s">
        <v>366</v>
      </c>
      <c r="F34" s="28" t="n">
        <v>5</v>
      </c>
      <c r="G34" s="28" t="s">
        <v>366</v>
      </c>
      <c r="H34" s="28" t="s">
        <v>366</v>
      </c>
      <c r="I34" s="29" t="s">
        <v>366</v>
      </c>
    </row>
    <row r="35" customFormat="false" ht="15" hidden="false" customHeight="false" outlineLevel="0" collapsed="false">
      <c r="A35" s="25" t="s">
        <v>13</v>
      </c>
      <c r="B35" s="26" t="s">
        <v>467</v>
      </c>
      <c r="C35" s="27" t="s">
        <v>366</v>
      </c>
      <c r="D35" s="27" t="s">
        <v>366</v>
      </c>
      <c r="E35" s="27" t="s">
        <v>366</v>
      </c>
      <c r="F35" s="28" t="n">
        <v>10</v>
      </c>
      <c r="G35" s="28" t="s">
        <v>366</v>
      </c>
      <c r="H35" s="28" t="s">
        <v>366</v>
      </c>
      <c r="I35" s="29" t="s">
        <v>366</v>
      </c>
    </row>
    <row r="36" customFormat="false" ht="15" hidden="false" customHeight="false" outlineLevel="0" collapsed="false">
      <c r="A36" s="30" t="s">
        <v>5</v>
      </c>
      <c r="B36" s="31" t="s">
        <v>468</v>
      </c>
      <c r="C36" s="32" t="s">
        <v>366</v>
      </c>
      <c r="D36" s="32" t="s">
        <v>366</v>
      </c>
      <c r="E36" s="32" t="s">
        <v>366</v>
      </c>
      <c r="F36" s="33" t="n">
        <v>0</v>
      </c>
      <c r="G36" s="33" t="n">
        <v>0</v>
      </c>
      <c r="H36" s="33" t="n">
        <v>0</v>
      </c>
      <c r="I36" s="34" t="s">
        <v>366</v>
      </c>
    </row>
    <row r="37" customFormat="false" ht="15" hidden="false" customHeight="false" outlineLevel="0" collapsed="false">
      <c r="A37" s="30" t="s">
        <v>7</v>
      </c>
      <c r="B37" s="31" t="s">
        <v>469</v>
      </c>
      <c r="C37" s="32" t="s">
        <v>366</v>
      </c>
      <c r="D37" s="32" t="s">
        <v>366</v>
      </c>
      <c r="E37" s="32" t="s">
        <v>366</v>
      </c>
      <c r="F37" s="33" t="n">
        <v>0</v>
      </c>
      <c r="G37" s="33" t="n">
        <v>0</v>
      </c>
      <c r="H37" s="33" t="n">
        <v>0</v>
      </c>
      <c r="I37" s="34" t="s">
        <v>366</v>
      </c>
    </row>
    <row r="38" customFormat="false" ht="15" hidden="false" customHeight="false" outlineLevel="0" collapsed="false">
      <c r="A38" s="30" t="s">
        <v>8</v>
      </c>
      <c r="B38" s="31" t="s">
        <v>470</v>
      </c>
      <c r="C38" s="32" t="s">
        <v>366</v>
      </c>
      <c r="D38" s="32" t="s">
        <v>366</v>
      </c>
      <c r="E38" s="32" t="s">
        <v>366</v>
      </c>
      <c r="F38" s="33" t="n">
        <v>0</v>
      </c>
      <c r="G38" s="33" t="n">
        <v>0</v>
      </c>
      <c r="H38" s="33" t="n">
        <v>0</v>
      </c>
      <c r="I38" s="34" t="s">
        <v>366</v>
      </c>
    </row>
    <row r="39" customFormat="false" ht="15" hidden="false" customHeight="false" outlineLevel="0" collapsed="false">
      <c r="A39" s="30" t="s">
        <v>9</v>
      </c>
      <c r="B39" s="31" t="s">
        <v>471</v>
      </c>
      <c r="C39" s="32" t="s">
        <v>366</v>
      </c>
      <c r="D39" s="32" t="s">
        <v>366</v>
      </c>
      <c r="E39" s="32" t="s">
        <v>366</v>
      </c>
      <c r="F39" s="33" t="n">
        <v>0</v>
      </c>
      <c r="G39" s="33" t="n">
        <v>0</v>
      </c>
      <c r="H39" s="33" t="n">
        <v>0</v>
      </c>
      <c r="I39" s="34" t="s">
        <v>366</v>
      </c>
    </row>
    <row r="40" customFormat="false" ht="15" hidden="false" customHeight="false" outlineLevel="0" collapsed="false">
      <c r="A40" s="30" t="s">
        <v>10</v>
      </c>
      <c r="B40" s="31" t="s">
        <v>472</v>
      </c>
      <c r="C40" s="32" t="s">
        <v>366</v>
      </c>
      <c r="D40" s="32" t="s">
        <v>366</v>
      </c>
      <c r="E40" s="32" t="s">
        <v>366</v>
      </c>
      <c r="F40" s="33" t="n">
        <v>0</v>
      </c>
      <c r="G40" s="33" t="n">
        <v>0</v>
      </c>
      <c r="H40" s="33" t="n">
        <v>0</v>
      </c>
      <c r="I40" s="34" t="s">
        <v>366</v>
      </c>
    </row>
    <row r="41" customFormat="false" ht="15" hidden="false" customHeight="false" outlineLevel="0" collapsed="false">
      <c r="A41" s="30" t="s">
        <v>11</v>
      </c>
      <c r="B41" s="31" t="s">
        <v>472</v>
      </c>
      <c r="C41" s="32" t="s">
        <v>366</v>
      </c>
      <c r="D41" s="32" t="s">
        <v>366</v>
      </c>
      <c r="E41" s="32" t="s">
        <v>366</v>
      </c>
      <c r="F41" s="33" t="n">
        <v>0</v>
      </c>
      <c r="G41" s="33" t="n">
        <v>0</v>
      </c>
      <c r="H41" s="33" t="n">
        <v>0</v>
      </c>
      <c r="I41" s="34" t="s">
        <v>366</v>
      </c>
    </row>
    <row r="42" customFormat="false" ht="15" hidden="false" customHeight="false" outlineLevel="0" collapsed="false">
      <c r="A42" s="30" t="s">
        <v>12</v>
      </c>
      <c r="B42" s="31" t="s">
        <v>472</v>
      </c>
      <c r="C42" s="32" t="s">
        <v>366</v>
      </c>
      <c r="D42" s="32" t="s">
        <v>366</v>
      </c>
      <c r="E42" s="32" t="s">
        <v>366</v>
      </c>
      <c r="F42" s="33" t="n">
        <v>0</v>
      </c>
      <c r="G42" s="33" t="n">
        <v>0</v>
      </c>
      <c r="H42" s="33" t="n">
        <v>0</v>
      </c>
      <c r="I42" s="34" t="s">
        <v>366</v>
      </c>
    </row>
    <row r="43" customFormat="false" ht="15" hidden="false" customHeight="false" outlineLevel="0" collapsed="false">
      <c r="A43" s="30" t="s">
        <v>14</v>
      </c>
      <c r="B43" s="31" t="s">
        <v>473</v>
      </c>
      <c r="C43" s="32" t="s">
        <v>366</v>
      </c>
      <c r="D43" s="32" t="s">
        <v>366</v>
      </c>
      <c r="E43" s="32" t="s">
        <v>366</v>
      </c>
      <c r="F43" s="33" t="n">
        <v>0</v>
      </c>
      <c r="G43" s="33" t="n">
        <v>0</v>
      </c>
      <c r="H43" s="33" t="n">
        <v>0</v>
      </c>
      <c r="I43" s="34" t="s">
        <v>366</v>
      </c>
    </row>
    <row r="45" customFormat="false" ht="15" hidden="false" customHeight="false" outlineLevel="0" collapsed="false">
      <c r="A45" s="13" t="s">
        <v>474</v>
      </c>
    </row>
    <row r="46" customFormat="false" ht="15" hidden="false" customHeight="false" outlineLevel="0" collapsed="false">
      <c r="A46" s="14" t="s">
        <v>475</v>
      </c>
    </row>
    <row r="47" customFormat="false" ht="15" hidden="false" customHeight="false" outlineLevel="0" collapsed="false">
      <c r="A47" s="14" t="s">
        <v>476</v>
      </c>
    </row>
    <row r="48" customFormat="false" ht="15" hidden="false" customHeight="false" outlineLevel="0" collapsed="false">
      <c r="A48" s="14" t="s">
        <v>477</v>
      </c>
    </row>
    <row r="49" customFormat="false" ht="15" hidden="false" customHeight="false" outlineLevel="0" collapsed="false">
      <c r="A49" s="14" t="s">
        <v>478</v>
      </c>
    </row>
    <row r="50" customFormat="false" ht="15" hidden="false" customHeight="false" outlineLevel="0" collapsed="false">
      <c r="A50" s="14" t="s">
        <v>479</v>
      </c>
    </row>
    <row r="51" customFormat="false" ht="15" hidden="false" customHeight="false" outlineLevel="0" collapsed="false">
      <c r="A51" s="13" t="s">
        <v>480</v>
      </c>
    </row>
    <row r="52" customFormat="false" ht="15" hidden="false" customHeight="false" outlineLevel="0" collapsed="false">
      <c r="A52" s="14" t="s">
        <v>481</v>
      </c>
    </row>
    <row r="53" customFormat="false" ht="15" hidden="false" customHeight="false" outlineLevel="0" collapsed="false">
      <c r="A53" s="14" t="s">
        <v>482</v>
      </c>
    </row>
    <row r="54" customFormat="false" ht="15" hidden="false" customHeight="false" outlineLevel="0" collapsed="false">
      <c r="A54" s="14" t="s">
        <v>483</v>
      </c>
    </row>
    <row r="55" customFormat="false" ht="15" hidden="false" customHeight="false" outlineLevel="0" collapsed="false">
      <c r="A55" s="14" t="s">
        <v>484</v>
      </c>
    </row>
    <row r="56" customFormat="false" ht="15" hidden="false" customHeight="false" outlineLevel="0" collapsed="false">
      <c r="A56" s="14" t="s">
        <v>485</v>
      </c>
    </row>
    <row r="59" customFormat="false" ht="15" hidden="false" customHeight="false" outlineLevel="0" collapsed="false">
      <c r="A59" s="13" t="s">
        <v>486</v>
      </c>
    </row>
    <row r="60" customFormat="false" ht="15" hidden="false" customHeight="false" outlineLevel="0" collapsed="false">
      <c r="A60" s="2" t="s">
        <v>487</v>
      </c>
    </row>
    <row r="61" customFormat="false" ht="15" hidden="false" customHeight="false" outlineLevel="0" collapsed="false">
      <c r="A61" s="3" t="s">
        <v>488</v>
      </c>
      <c r="B61" s="3" t="s">
        <v>489</v>
      </c>
      <c r="C61" s="3" t="s">
        <v>216</v>
      </c>
    </row>
    <row r="62" customFormat="false" ht="38.05" hidden="false" customHeight="false" outlineLevel="0" collapsed="false">
      <c r="A62" s="8" t="s">
        <v>490</v>
      </c>
      <c r="B62" s="9" t="s">
        <v>491</v>
      </c>
      <c r="C62" s="9" t="s">
        <v>492</v>
      </c>
    </row>
    <row r="63" customFormat="false" ht="76.1" hidden="false" customHeight="false" outlineLevel="0" collapsed="false">
      <c r="A63" s="8" t="s">
        <v>493</v>
      </c>
      <c r="B63" s="9" t="s">
        <v>494</v>
      </c>
      <c r="C63" s="9" t="s">
        <v>495</v>
      </c>
    </row>
    <row r="64" customFormat="false" ht="39.55" hidden="false" customHeight="false" outlineLevel="0" collapsed="false">
      <c r="A64" s="8" t="s">
        <v>496</v>
      </c>
      <c r="B64" s="9" t="s">
        <v>494</v>
      </c>
      <c r="C64" s="9" t="s">
        <v>497</v>
      </c>
    </row>
    <row r="65" customFormat="false" ht="52.2" hidden="false" customHeight="false" outlineLevel="0" collapsed="false">
      <c r="A65" s="8" t="s">
        <v>498</v>
      </c>
      <c r="B65" s="9" t="s">
        <v>499</v>
      </c>
      <c r="C65" s="9" t="s">
        <v>500</v>
      </c>
    </row>
    <row r="66" customFormat="false" ht="52.2" hidden="false" customHeight="false" outlineLevel="0" collapsed="false">
      <c r="A66" s="8" t="s">
        <v>501</v>
      </c>
      <c r="B66" s="9" t="s">
        <v>502</v>
      </c>
      <c r="C66" s="9" t="s">
        <v>503</v>
      </c>
    </row>
    <row r="67" customFormat="false" ht="77.6" hidden="false" customHeight="false" outlineLevel="0" collapsed="false">
      <c r="A67" s="8" t="s">
        <v>504</v>
      </c>
      <c r="B67" s="9" t="s">
        <v>505</v>
      </c>
      <c r="C67" s="9" t="s">
        <v>506</v>
      </c>
    </row>
    <row r="68" customFormat="false" ht="39.55" hidden="false" customHeight="false" outlineLevel="0" collapsed="false">
      <c r="A68" s="8" t="s">
        <v>507</v>
      </c>
      <c r="B68" s="9" t="s">
        <v>508</v>
      </c>
      <c r="C68" s="9" t="s">
        <v>509</v>
      </c>
    </row>
    <row r="69" customFormat="false" ht="76.1" hidden="false" customHeight="false" outlineLevel="0" collapsed="false">
      <c r="A69" s="8" t="s">
        <v>510</v>
      </c>
      <c r="B69" s="9" t="s">
        <v>511</v>
      </c>
      <c r="C69" s="10" t="s">
        <v>512</v>
      </c>
    </row>
    <row r="70" customFormat="false" ht="50.7" hidden="false" customHeight="false" outlineLevel="0" collapsed="false">
      <c r="A70" s="8" t="s">
        <v>513</v>
      </c>
      <c r="B70" s="9" t="s">
        <v>514</v>
      </c>
      <c r="C70" s="9" t="s">
        <v>515</v>
      </c>
    </row>
    <row r="71" customFormat="false" ht="52.2" hidden="false" customHeight="false" outlineLevel="0" collapsed="false">
      <c r="A71" s="8" t="s">
        <v>516</v>
      </c>
      <c r="B71" s="9" t="s">
        <v>517</v>
      </c>
      <c r="C71" s="9" t="s">
        <v>518</v>
      </c>
    </row>
    <row r="72" customFormat="false" ht="76.1" hidden="false" customHeight="false" outlineLevel="0" collapsed="false">
      <c r="A72" s="8" t="s">
        <v>519</v>
      </c>
      <c r="B72" s="9" t="s">
        <v>520</v>
      </c>
      <c r="C72" s="10" t="s">
        <v>521</v>
      </c>
    </row>
    <row r="73" customFormat="false" ht="50.7" hidden="false" customHeight="false" outlineLevel="0" collapsed="false">
      <c r="A73" s="8" t="s">
        <v>522</v>
      </c>
      <c r="B73" s="9" t="s">
        <v>523</v>
      </c>
      <c r="C73" s="9" t="s">
        <v>524</v>
      </c>
    </row>
    <row r="74" customFormat="false" ht="26.85" hidden="false" customHeight="false" outlineLevel="0" collapsed="false">
      <c r="A74" s="8" t="s">
        <v>525</v>
      </c>
      <c r="B74" s="9" t="s">
        <v>41</v>
      </c>
      <c r="C74" s="10" t="s">
        <v>526</v>
      </c>
    </row>
    <row r="75" customFormat="false" ht="36.55" hidden="false" customHeight="false" outlineLevel="0" collapsed="false">
      <c r="A75" s="8" t="s">
        <v>527</v>
      </c>
      <c r="B75" s="9" t="s">
        <v>41</v>
      </c>
      <c r="C75" s="10" t="s">
        <v>528</v>
      </c>
    </row>
    <row r="76" customFormat="false" ht="50.7" hidden="false" customHeight="false" outlineLevel="0" collapsed="false">
      <c r="A76" s="8" t="s">
        <v>529</v>
      </c>
      <c r="B76" s="9" t="s">
        <v>41</v>
      </c>
      <c r="C76" s="9" t="s">
        <v>530</v>
      </c>
    </row>
    <row r="77" customFormat="false" ht="64.9" hidden="false" customHeight="false" outlineLevel="0" collapsed="false">
      <c r="A77" s="8" t="s">
        <v>531</v>
      </c>
      <c r="B77" s="9" t="s">
        <v>41</v>
      </c>
      <c r="C77" s="10" t="s">
        <v>532</v>
      </c>
    </row>
    <row r="78" customFormat="false" ht="39.55" hidden="false" customHeight="false" outlineLevel="0" collapsed="false">
      <c r="A78" s="8" t="s">
        <v>533</v>
      </c>
      <c r="B78" s="9" t="s">
        <v>87</v>
      </c>
      <c r="C78" s="9" t="s">
        <v>534</v>
      </c>
    </row>
    <row r="79" customFormat="false" ht="39.55" hidden="false" customHeight="false" outlineLevel="0" collapsed="false">
      <c r="A79" s="8" t="s">
        <v>535</v>
      </c>
      <c r="B79" s="9" t="s">
        <v>89</v>
      </c>
      <c r="C79" s="9" t="s">
        <v>536</v>
      </c>
    </row>
    <row r="82" customFormat="false" ht="15" hidden="false" customHeight="false" outlineLevel="0" collapsed="false">
      <c r="A82" s="13" t="s">
        <v>537</v>
      </c>
    </row>
    <row r="83" customFormat="false" ht="15" hidden="false" customHeight="false" outlineLevel="0" collapsed="false">
      <c r="A83" s="2" t="s">
        <v>538</v>
      </c>
    </row>
    <row r="84" customFormat="false" ht="26.85" hidden="false" customHeight="false" outlineLevel="0" collapsed="false">
      <c r="A84" s="3" t="s">
        <v>439</v>
      </c>
      <c r="B84" s="3" t="s">
        <v>539</v>
      </c>
      <c r="C84" s="3" t="s">
        <v>540</v>
      </c>
      <c r="D84" s="3" t="s">
        <v>541</v>
      </c>
      <c r="E84" s="3" t="s">
        <v>542</v>
      </c>
      <c r="F84" s="3" t="s">
        <v>543</v>
      </c>
    </row>
    <row r="85" customFormat="false" ht="15" hidden="false" customHeight="false" outlineLevel="0" collapsed="false">
      <c r="A85" s="8" t="s">
        <v>544</v>
      </c>
      <c r="B85" s="35" t="s">
        <v>545</v>
      </c>
      <c r="C85" s="36" t="n">
        <v>0.05</v>
      </c>
      <c r="D85" s="36" t="n">
        <v>0.1</v>
      </c>
      <c r="E85" s="36" t="n">
        <v>0.2</v>
      </c>
      <c r="F85" s="36" t="n">
        <v>0.5</v>
      </c>
    </row>
    <row r="86" customFormat="false" ht="15" hidden="false" customHeight="false" outlineLevel="0" collapsed="false">
      <c r="A86" s="8" t="s">
        <v>546</v>
      </c>
      <c r="B86" s="37" t="n">
        <v>15</v>
      </c>
      <c r="C86" s="38" t="n">
        <f aca="false">$B86*$B$11*C$85</f>
        <v>0.75</v>
      </c>
      <c r="D86" s="38" t="n">
        <f aca="false">$B86*$B$11*D$85</f>
        <v>1.5</v>
      </c>
      <c r="E86" s="38" t="n">
        <f aca="false">$B86*$B$11*E$85</f>
        <v>3</v>
      </c>
      <c r="F86" s="38" t="n">
        <f aca="false">$B86*$B$11*F$85</f>
        <v>7.5</v>
      </c>
    </row>
    <row r="87" customFormat="false" ht="15" hidden="false" customHeight="false" outlineLevel="0" collapsed="false">
      <c r="A87" s="8" t="s">
        <v>547</v>
      </c>
      <c r="B87" s="37" t="n">
        <v>40</v>
      </c>
      <c r="C87" s="38" t="n">
        <f aca="false">$B87*$B$11*C$85</f>
        <v>2</v>
      </c>
      <c r="D87" s="38" t="n">
        <f aca="false">$B87*$B$11*D$85</f>
        <v>4</v>
      </c>
      <c r="E87" s="38" t="n">
        <f aca="false">$B87*$B$11*E$85</f>
        <v>8</v>
      </c>
      <c r="F87" s="38" t="n">
        <f aca="false">$B87*$B$11*F$85</f>
        <v>20</v>
      </c>
    </row>
    <row r="88" customFormat="false" ht="15" hidden="false" customHeight="false" outlineLevel="0" collapsed="false">
      <c r="A88" s="8" t="s">
        <v>548</v>
      </c>
      <c r="B88" s="37" t="n">
        <v>80</v>
      </c>
      <c r="C88" s="38" t="n">
        <f aca="false">$B88*$B$11*C$85</f>
        <v>4</v>
      </c>
      <c r="D88" s="38" t="n">
        <f aca="false">$B88*$B$11*D$85</f>
        <v>8</v>
      </c>
      <c r="E88" s="38" t="n">
        <f aca="false">$B88*$B$11*E$85</f>
        <v>16</v>
      </c>
      <c r="F88" s="38" t="n">
        <f aca="false">$B88*$B$11*F$85</f>
        <v>40</v>
      </c>
    </row>
    <row r="89" customFormat="false" ht="15" hidden="false" customHeight="false" outlineLevel="0" collapsed="false">
      <c r="A89" s="8" t="s">
        <v>549</v>
      </c>
      <c r="B89" s="37" t="n">
        <v>120</v>
      </c>
      <c r="C89" s="38" t="n">
        <f aca="false">$B89*$B$11*C$85</f>
        <v>6</v>
      </c>
      <c r="D89" s="38" t="n">
        <f aca="false">$B89*$B$11*D$85</f>
        <v>12</v>
      </c>
      <c r="E89" s="38" t="n">
        <f aca="false">$B89*$B$11*E$85</f>
        <v>24</v>
      </c>
      <c r="F89" s="38" t="n">
        <f aca="false">$B89*$B$11*F$85</f>
        <v>60</v>
      </c>
    </row>
    <row r="91" customFormat="false" ht="15" hidden="false" customHeight="false" outlineLevel="0" collapsed="false">
      <c r="A91" s="14" t="s">
        <v>550</v>
      </c>
    </row>
    <row r="92" customFormat="false" ht="15" hidden="false" customHeight="false" outlineLevel="0" collapsed="false">
      <c r="A92" s="14" t="s">
        <v>551</v>
      </c>
    </row>
    <row r="93" customFormat="false" ht="15" hidden="false" customHeight="false" outlineLevel="0" collapsed="false">
      <c r="A93" s="39" t="s">
        <v>552</v>
      </c>
    </row>
    <row r="95" customFormat="false" ht="15" hidden="false" customHeight="false" outlineLevel="0" collapsed="false">
      <c r="A95" s="13" t="s">
        <v>553</v>
      </c>
    </row>
    <row r="96" customFormat="false" ht="15" hidden="false" customHeight="false" outlineLevel="0" collapsed="false">
      <c r="A96" s="2" t="s">
        <v>554</v>
      </c>
    </row>
    <row r="97" customFormat="false" ht="26.85" hidden="false" customHeight="false" outlineLevel="0" collapsed="false">
      <c r="A97" s="3" t="s">
        <v>438</v>
      </c>
      <c r="B97" s="3" t="s">
        <v>555</v>
      </c>
      <c r="C97" s="3" t="s">
        <v>556</v>
      </c>
      <c r="D97" s="3" t="s">
        <v>259</v>
      </c>
      <c r="E97" s="3" t="s">
        <v>557</v>
      </c>
    </row>
    <row r="98" customFormat="false" ht="64.9" hidden="false" customHeight="false" outlineLevel="0" collapsed="false">
      <c r="A98" s="8" t="s">
        <v>12</v>
      </c>
      <c r="B98" s="10" t="s">
        <v>558</v>
      </c>
      <c r="C98" s="9" t="s">
        <v>559</v>
      </c>
      <c r="D98" s="9" t="s">
        <v>560</v>
      </c>
      <c r="E98" s="9" t="s">
        <v>561</v>
      </c>
    </row>
    <row r="99" customFormat="false" ht="64.9" hidden="false" customHeight="false" outlineLevel="0" collapsed="false">
      <c r="A99" s="8" t="s">
        <v>5</v>
      </c>
      <c r="B99" s="10" t="s">
        <v>562</v>
      </c>
      <c r="C99" s="9" t="s">
        <v>563</v>
      </c>
      <c r="D99" s="10" t="s">
        <v>564</v>
      </c>
      <c r="E99" s="9" t="s">
        <v>565</v>
      </c>
    </row>
    <row r="100" customFormat="false" ht="39.55" hidden="false" customHeight="false" outlineLevel="0" collapsed="false">
      <c r="A100" s="8" t="s">
        <v>566</v>
      </c>
      <c r="B100" s="10" t="s">
        <v>558</v>
      </c>
      <c r="C100" s="9" t="s">
        <v>567</v>
      </c>
      <c r="D100" s="9" t="s">
        <v>41</v>
      </c>
      <c r="E100" s="9" t="s">
        <v>87</v>
      </c>
    </row>
    <row r="102" customFormat="false" ht="15" hidden="false" customHeight="false" outlineLevel="0" collapsed="false">
      <c r="A102" s="14" t="s">
        <v>568</v>
      </c>
    </row>
    <row r="103" customFormat="false" ht="15" hidden="false" customHeight="false" outlineLevel="0" collapsed="false">
      <c r="A103" s="14" t="s">
        <v>569</v>
      </c>
    </row>
    <row r="105" customFormat="false" ht="15" hidden="false" customHeight="false" outlineLevel="0" collapsed="false">
      <c r="A105" s="13" t="s">
        <v>570</v>
      </c>
    </row>
    <row r="106" customFormat="false" ht="15" hidden="false" customHeight="false" outlineLevel="0" collapsed="false">
      <c r="A106" s="2" t="s">
        <v>571</v>
      </c>
    </row>
    <row r="107" customFormat="false" ht="15" hidden="false" customHeight="false" outlineLevel="0" collapsed="false">
      <c r="A107" s="3" t="s">
        <v>438</v>
      </c>
      <c r="B107" s="3" t="s">
        <v>572</v>
      </c>
      <c r="C107" s="3" t="s">
        <v>573</v>
      </c>
    </row>
    <row r="108" customFormat="false" ht="26.85" hidden="false" customHeight="false" outlineLevel="0" collapsed="false">
      <c r="A108" s="8" t="s">
        <v>13</v>
      </c>
      <c r="B108" s="9" t="s">
        <v>574</v>
      </c>
      <c r="C108" s="9" t="s">
        <v>575</v>
      </c>
    </row>
    <row r="109" customFormat="false" ht="26.85" hidden="false" customHeight="false" outlineLevel="0" collapsed="false">
      <c r="A109" s="8" t="s">
        <v>11</v>
      </c>
      <c r="B109" s="9" t="s">
        <v>576</v>
      </c>
      <c r="C109" s="10" t="s">
        <v>577</v>
      </c>
    </row>
    <row r="110" customFormat="false" ht="39.55" hidden="false" customHeight="false" outlineLevel="0" collapsed="false">
      <c r="A110" s="8" t="s">
        <v>11</v>
      </c>
      <c r="B110" s="9" t="s">
        <v>578</v>
      </c>
      <c r="C110" s="10" t="s">
        <v>579</v>
      </c>
    </row>
    <row r="111" customFormat="false" ht="26.85" hidden="false" customHeight="false" outlineLevel="0" collapsed="false">
      <c r="A111" s="8" t="s">
        <v>5</v>
      </c>
      <c r="B111" s="9" t="s">
        <v>580</v>
      </c>
      <c r="C111" s="10" t="s">
        <v>581</v>
      </c>
    </row>
    <row r="112" customFormat="false" ht="26.85" hidden="false" customHeight="false" outlineLevel="0" collapsed="false">
      <c r="A112" s="8" t="s">
        <v>7</v>
      </c>
      <c r="B112" s="10" t="s">
        <v>582</v>
      </c>
      <c r="C112" s="10" t="s">
        <v>583</v>
      </c>
    </row>
    <row r="113" customFormat="false" ht="26.85" hidden="false" customHeight="false" outlineLevel="0" collapsed="false">
      <c r="A113" s="8" t="s">
        <v>7</v>
      </c>
      <c r="B113" s="9" t="s">
        <v>584</v>
      </c>
      <c r="C113" s="9" t="s">
        <v>585</v>
      </c>
    </row>
    <row r="114" customFormat="false" ht="25.35" hidden="false" customHeight="false" outlineLevel="0" collapsed="false">
      <c r="A114" s="8" t="s">
        <v>6</v>
      </c>
      <c r="B114" s="9" t="s">
        <v>586</v>
      </c>
      <c r="C114" s="9" t="s">
        <v>587</v>
      </c>
    </row>
    <row r="115" customFormat="false" ht="15" hidden="false" customHeight="false" outlineLevel="0" collapsed="false">
      <c r="A115" s="8" t="s">
        <v>4</v>
      </c>
      <c r="B115" s="9" t="s">
        <v>588</v>
      </c>
      <c r="C115" s="9" t="s">
        <v>587</v>
      </c>
    </row>
    <row r="116" customFormat="false" ht="26.85" hidden="false" customHeight="false" outlineLevel="0" collapsed="false">
      <c r="A116" s="8" t="s">
        <v>4</v>
      </c>
      <c r="B116" s="9" t="s">
        <v>589</v>
      </c>
      <c r="C116" s="10" t="s">
        <v>590</v>
      </c>
    </row>
    <row r="119" customFormat="false" ht="15" hidden="false" customHeight="false" outlineLevel="0" collapsed="false">
      <c r="A119" s="13" t="s">
        <v>591</v>
      </c>
    </row>
    <row r="120" customFormat="false" ht="15" hidden="false" customHeight="false" outlineLevel="0" collapsed="false">
      <c r="A120" s="2" t="s">
        <v>592</v>
      </c>
    </row>
    <row r="121" customFormat="false" ht="15" hidden="false" customHeight="false" outlineLevel="0" collapsed="false">
      <c r="A121" s="3" t="s">
        <v>438</v>
      </c>
      <c r="B121" s="3" t="s">
        <v>593</v>
      </c>
      <c r="C121" s="3" t="s">
        <v>594</v>
      </c>
    </row>
    <row r="122" customFormat="false" ht="112.65" hidden="false" customHeight="false" outlineLevel="0" collapsed="false">
      <c r="A122" s="4" t="s">
        <v>18</v>
      </c>
      <c r="B122" s="5" t="s">
        <v>595</v>
      </c>
      <c r="C122" s="6" t="s">
        <v>596</v>
      </c>
    </row>
    <row r="123" customFormat="false" ht="90.25" hidden="false" customHeight="false" outlineLevel="0" collapsed="false">
      <c r="A123" s="8" t="s">
        <v>5</v>
      </c>
      <c r="B123" s="9" t="s">
        <v>597</v>
      </c>
      <c r="C123" s="9" t="s">
        <v>598</v>
      </c>
    </row>
    <row r="124" customFormat="false" ht="90.25" hidden="false" customHeight="false" outlineLevel="0" collapsed="false">
      <c r="A124" s="8" t="s">
        <v>12</v>
      </c>
      <c r="B124" s="9" t="s">
        <v>597</v>
      </c>
      <c r="C124" s="9" t="s">
        <v>599</v>
      </c>
    </row>
    <row r="125" customFormat="false" ht="115.65" hidden="false" customHeight="false" outlineLevel="0" collapsed="false">
      <c r="A125" s="8" t="s">
        <v>9</v>
      </c>
      <c r="B125" s="9" t="s">
        <v>597</v>
      </c>
      <c r="C125" s="9" t="s">
        <v>600</v>
      </c>
    </row>
    <row r="126" customFormat="false" ht="102.95" hidden="false" customHeight="false" outlineLevel="0" collapsed="false">
      <c r="A126" s="8" t="s">
        <v>11</v>
      </c>
      <c r="B126" s="9" t="s">
        <v>597</v>
      </c>
      <c r="C126" s="9" t="s">
        <v>601</v>
      </c>
    </row>
    <row r="127" customFormat="false" ht="52.2" hidden="false" customHeight="false" outlineLevel="0" collapsed="false">
      <c r="A127" s="8" t="s">
        <v>6</v>
      </c>
      <c r="B127" s="9" t="s">
        <v>597</v>
      </c>
      <c r="C127" s="9" t="s">
        <v>602</v>
      </c>
    </row>
    <row r="128" customFormat="false" ht="64.9" hidden="false" customHeight="false" outlineLevel="0" collapsed="false">
      <c r="A128" s="8" t="s">
        <v>15</v>
      </c>
      <c r="B128" s="9" t="s">
        <v>597</v>
      </c>
      <c r="C128" s="9" t="s">
        <v>603</v>
      </c>
    </row>
    <row r="129" customFormat="false" ht="102.95" hidden="false" customHeight="false" outlineLevel="0" collapsed="false">
      <c r="A129" s="8" t="s">
        <v>4</v>
      </c>
      <c r="B129" s="9" t="s">
        <v>604</v>
      </c>
      <c r="C129" s="9" t="s">
        <v>605</v>
      </c>
    </row>
    <row r="130" customFormat="false" ht="64.9" hidden="false" customHeight="false" outlineLevel="0" collapsed="false">
      <c r="A130" s="8" t="s">
        <v>17</v>
      </c>
      <c r="B130" s="9" t="s">
        <v>606</v>
      </c>
      <c r="C130" s="9" t="s">
        <v>607</v>
      </c>
    </row>
    <row r="131" customFormat="false" ht="64.9" hidden="false" customHeight="false" outlineLevel="0" collapsed="false">
      <c r="A131" s="8" t="s">
        <v>13</v>
      </c>
      <c r="B131" s="9" t="s">
        <v>608</v>
      </c>
      <c r="C131" s="9" t="s">
        <v>609</v>
      </c>
    </row>
    <row r="134" customFormat="false" ht="15" hidden="false" customHeight="false" outlineLevel="0" collapsed="false">
      <c r="A134" s="13" t="s">
        <v>610</v>
      </c>
    </row>
    <row r="135" customFormat="false" ht="15" hidden="false" customHeight="false" outlineLevel="0" collapsed="false">
      <c r="A135" s="2" t="s">
        <v>611</v>
      </c>
    </row>
    <row r="136" customFormat="false" ht="15" hidden="false" customHeight="false" outlineLevel="0" collapsed="false">
      <c r="A136" s="3" t="s">
        <v>438</v>
      </c>
      <c r="B136" s="3" t="s">
        <v>612</v>
      </c>
      <c r="C136" s="3" t="s">
        <v>613</v>
      </c>
    </row>
    <row r="137" customFormat="false" ht="90.25" hidden="false" customHeight="false" outlineLevel="0" collapsed="false">
      <c r="A137" s="40" t="s">
        <v>4</v>
      </c>
      <c r="B137" s="16" t="s">
        <v>614</v>
      </c>
      <c r="C137" s="16" t="s">
        <v>615</v>
      </c>
    </row>
    <row r="138" customFormat="false" ht="128.35" hidden="false" customHeight="false" outlineLevel="0" collapsed="false">
      <c r="A138" s="40" t="s">
        <v>20</v>
      </c>
      <c r="B138" s="16" t="s">
        <v>614</v>
      </c>
      <c r="C138" s="16" t="s">
        <v>616</v>
      </c>
    </row>
    <row r="139" customFormat="false" ht="77.6" hidden="false" customHeight="false" outlineLevel="0" collapsed="false">
      <c r="A139" s="8" t="s">
        <v>9</v>
      </c>
      <c r="B139" s="9" t="s">
        <v>617</v>
      </c>
      <c r="C139" s="10" t="s">
        <v>618</v>
      </c>
    </row>
    <row r="140" customFormat="false" ht="77.6" hidden="false" customHeight="false" outlineLevel="0" collapsed="false">
      <c r="A140" s="8" t="s">
        <v>15</v>
      </c>
      <c r="B140" s="9" t="s">
        <v>619</v>
      </c>
      <c r="C140" s="9" t="s">
        <v>620</v>
      </c>
    </row>
    <row r="141" customFormat="false" ht="77.6" hidden="false" customHeight="false" outlineLevel="0" collapsed="false">
      <c r="A141" s="8" t="s">
        <v>11</v>
      </c>
      <c r="B141" s="9" t="s">
        <v>621</v>
      </c>
      <c r="C141" s="9" t="s">
        <v>622</v>
      </c>
    </row>
    <row r="142" customFormat="false" ht="64.9" hidden="false" customHeight="false" outlineLevel="0" collapsed="false">
      <c r="A142" s="8" t="s">
        <v>16</v>
      </c>
      <c r="B142" s="9" t="s">
        <v>73</v>
      </c>
      <c r="C142" s="9" t="s">
        <v>623</v>
      </c>
    </row>
    <row r="143" customFormat="false" ht="102.95" hidden="false" customHeight="false" outlineLevel="0" collapsed="false">
      <c r="A143" s="8" t="s">
        <v>624</v>
      </c>
      <c r="B143" s="9" t="s">
        <v>88</v>
      </c>
      <c r="C143" s="9" t="s">
        <v>625</v>
      </c>
    </row>
    <row r="146" customFormat="false" ht="15" hidden="false" customHeight="false" outlineLevel="0" collapsed="false">
      <c r="A146" s="13" t="s">
        <v>626</v>
      </c>
    </row>
    <row r="147" customFormat="false" ht="15" hidden="false" customHeight="false" outlineLevel="0" collapsed="false">
      <c r="A147" s="2" t="s">
        <v>627</v>
      </c>
    </row>
    <row r="148" customFormat="false" ht="15" hidden="false" customHeight="false" outlineLevel="0" collapsed="false">
      <c r="A148" s="3" t="s">
        <v>438</v>
      </c>
      <c r="B148" s="3" t="s">
        <v>246</v>
      </c>
      <c r="C148" s="3" t="s">
        <v>628</v>
      </c>
    </row>
    <row r="149" customFormat="false" ht="77.6" hidden="false" customHeight="false" outlineLevel="0" collapsed="false">
      <c r="A149" s="40" t="s">
        <v>5</v>
      </c>
      <c r="B149" s="16" t="s">
        <v>317</v>
      </c>
      <c r="C149" s="16" t="s">
        <v>629</v>
      </c>
    </row>
    <row r="150" customFormat="false" ht="39.55" hidden="false" customHeight="false" outlineLevel="0" collapsed="false">
      <c r="A150" s="40" t="s">
        <v>12</v>
      </c>
      <c r="B150" s="16" t="s">
        <v>317</v>
      </c>
      <c r="C150" s="16" t="s">
        <v>630</v>
      </c>
    </row>
    <row r="151" customFormat="false" ht="102.95" hidden="false" customHeight="false" outlineLevel="0" collapsed="false">
      <c r="A151" s="40" t="s">
        <v>14</v>
      </c>
      <c r="B151" s="16" t="s">
        <v>631</v>
      </c>
      <c r="C151" s="16" t="s">
        <v>632</v>
      </c>
    </row>
    <row r="152" customFormat="false" ht="153.7" hidden="false" customHeight="false" outlineLevel="0" collapsed="false">
      <c r="A152" s="40" t="s">
        <v>9</v>
      </c>
      <c r="B152" s="16" t="s">
        <v>633</v>
      </c>
      <c r="C152" s="16" t="s">
        <v>634</v>
      </c>
    </row>
    <row r="153" customFormat="false" ht="88.8" hidden="false" customHeight="false" outlineLevel="0" collapsed="false">
      <c r="A153" s="8" t="s">
        <v>15</v>
      </c>
      <c r="B153" s="9" t="s">
        <v>247</v>
      </c>
      <c r="C153" s="9" t="s">
        <v>635</v>
      </c>
    </row>
    <row r="154" customFormat="false" ht="64.9" hidden="false" customHeight="false" outlineLevel="0" collapsed="false">
      <c r="A154" s="8" t="s">
        <v>4</v>
      </c>
      <c r="B154" s="9" t="s">
        <v>247</v>
      </c>
      <c r="C154" s="9" t="s">
        <v>636</v>
      </c>
    </row>
    <row r="155" customFormat="false" ht="39.55" hidden="false" customHeight="false" outlineLevel="0" collapsed="false">
      <c r="A155" s="8" t="s">
        <v>6</v>
      </c>
      <c r="B155" s="9" t="s">
        <v>247</v>
      </c>
      <c r="C155" s="9" t="s">
        <v>637</v>
      </c>
    </row>
    <row r="156" customFormat="false" ht="64.9" hidden="false" customHeight="false" outlineLevel="0" collapsed="false">
      <c r="A156" s="8" t="s">
        <v>11</v>
      </c>
      <c r="B156" s="9" t="s">
        <v>638</v>
      </c>
      <c r="C156" s="9" t="s">
        <v>639</v>
      </c>
    </row>
    <row r="157" customFormat="false" ht="26.85" hidden="false" customHeight="false" outlineLevel="0" collapsed="false">
      <c r="A157" s="8" t="s">
        <v>8</v>
      </c>
      <c r="B157" s="9" t="s">
        <v>640</v>
      </c>
      <c r="C157" s="9" t="s">
        <v>641</v>
      </c>
    </row>
    <row r="158" customFormat="false" ht="26.85" hidden="false" customHeight="false" outlineLevel="0" collapsed="false">
      <c r="A158" s="8" t="s">
        <v>10</v>
      </c>
      <c r="B158" s="9" t="s">
        <v>41</v>
      </c>
      <c r="C158" s="10" t="s">
        <v>642</v>
      </c>
    </row>
    <row r="159" customFormat="false" ht="52.2" hidden="false" customHeight="false" outlineLevel="0" collapsed="false">
      <c r="A159" s="8" t="s">
        <v>7</v>
      </c>
      <c r="B159" s="9" t="s">
        <v>41</v>
      </c>
      <c r="C159" s="9" t="s">
        <v>643</v>
      </c>
    </row>
    <row r="160" customFormat="false" ht="26.85" hidden="false" customHeight="false" outlineLevel="0" collapsed="false">
      <c r="A160" s="8" t="s">
        <v>13</v>
      </c>
      <c r="B160" s="9" t="s">
        <v>41</v>
      </c>
      <c r="C160" s="9" t="s">
        <v>644</v>
      </c>
    </row>
    <row r="163" customFormat="false" ht="15" hidden="false" customHeight="false" outlineLevel="0" collapsed="false">
      <c r="A163" s="13" t="s">
        <v>645</v>
      </c>
    </row>
    <row r="164" customFormat="false" ht="15" hidden="false" customHeight="false" outlineLevel="0" collapsed="false">
      <c r="A164" s="2" t="s">
        <v>646</v>
      </c>
    </row>
    <row r="165" customFormat="false" ht="15" hidden="false" customHeight="false" outlineLevel="0" collapsed="false">
      <c r="A165" s="3" t="s">
        <v>647</v>
      </c>
      <c r="B165" s="3" t="s">
        <v>648</v>
      </c>
      <c r="C165" s="3" t="s">
        <v>649</v>
      </c>
      <c r="D165" s="3" t="s">
        <v>650</v>
      </c>
      <c r="E165" s="3" t="s">
        <v>651</v>
      </c>
      <c r="F165" s="3" t="s">
        <v>652</v>
      </c>
      <c r="G165" s="3" t="s">
        <v>653</v>
      </c>
      <c r="H165" s="3" t="s">
        <v>654</v>
      </c>
    </row>
    <row r="166" customFormat="false" ht="15" hidden="false" customHeight="false" outlineLevel="0" collapsed="false">
      <c r="A166" s="41" t="s">
        <v>655</v>
      </c>
      <c r="B166" s="42" t="n">
        <v>250</v>
      </c>
      <c r="C166" s="42" t="n">
        <v>0</v>
      </c>
      <c r="D166" s="42" t="n">
        <v>250</v>
      </c>
      <c r="E166" s="42" t="n">
        <v>3000</v>
      </c>
      <c r="F166" s="42" t="n">
        <v>2760</v>
      </c>
      <c r="G166" s="43" t="n">
        <f aca="false">F166/B166</f>
        <v>11.04</v>
      </c>
      <c r="H166" s="43" t="n">
        <f aca="false">F166/D166</f>
        <v>11.04</v>
      </c>
    </row>
    <row r="167" customFormat="false" ht="15" hidden="false" customHeight="false" outlineLevel="0" collapsed="false">
      <c r="A167" s="41" t="s">
        <v>656</v>
      </c>
      <c r="B167" s="42" t="n">
        <v>500</v>
      </c>
      <c r="C167" s="42" t="n">
        <v>50</v>
      </c>
      <c r="D167" s="42" t="n">
        <v>550</v>
      </c>
      <c r="E167" s="42" t="n">
        <v>6600</v>
      </c>
      <c r="F167" s="42" t="n">
        <v>5520</v>
      </c>
      <c r="G167" s="43" t="n">
        <f aca="false">F167/B167</f>
        <v>11.04</v>
      </c>
      <c r="H167" s="43" t="n">
        <f aca="false">F167/D167</f>
        <v>10.0363636363636</v>
      </c>
    </row>
    <row r="168" customFormat="false" ht="15" hidden="false" customHeight="false" outlineLevel="0" collapsed="false">
      <c r="A168" s="41" t="s">
        <v>657</v>
      </c>
      <c r="B168" s="42" t="n">
        <v>1000</v>
      </c>
      <c r="C168" s="42" t="n">
        <v>100</v>
      </c>
      <c r="D168" s="42" t="n">
        <v>1100</v>
      </c>
      <c r="E168" s="42" t="n">
        <v>13200</v>
      </c>
      <c r="F168" s="42" t="n">
        <v>11040</v>
      </c>
      <c r="G168" s="43" t="n">
        <f aca="false">F168/B168</f>
        <v>11.04</v>
      </c>
      <c r="H168" s="43" t="n">
        <f aca="false">F168/D168</f>
        <v>10.0363636363636</v>
      </c>
    </row>
    <row r="169" customFormat="false" ht="15" hidden="false" customHeight="false" outlineLevel="0" collapsed="false">
      <c r="A169" s="41" t="s">
        <v>658</v>
      </c>
      <c r="B169" s="42" t="n">
        <v>2500</v>
      </c>
      <c r="C169" s="42" t="n">
        <v>300</v>
      </c>
      <c r="D169" s="42" t="n">
        <v>2800</v>
      </c>
      <c r="E169" s="42" t="n">
        <v>33600</v>
      </c>
      <c r="F169" s="42" t="n">
        <v>27600</v>
      </c>
      <c r="G169" s="43" t="n">
        <f aca="false">F169/B169</f>
        <v>11.04</v>
      </c>
      <c r="H169" s="43" t="n">
        <f aca="false">F169/D169</f>
        <v>9.85714285714286</v>
      </c>
    </row>
    <row r="170" customFormat="false" ht="15" hidden="false" customHeight="false" outlineLevel="0" collapsed="false">
      <c r="A170" s="41" t="s">
        <v>659</v>
      </c>
      <c r="B170" s="42" t="n">
        <v>5000</v>
      </c>
      <c r="C170" s="42" t="n">
        <v>700</v>
      </c>
      <c r="D170" s="42" t="n">
        <v>5700</v>
      </c>
      <c r="E170" s="42" t="n">
        <v>68400</v>
      </c>
      <c r="F170" s="42" t="n">
        <v>55200</v>
      </c>
      <c r="G170" s="43" t="n">
        <f aca="false">F170/B170</f>
        <v>11.04</v>
      </c>
      <c r="H170" s="43" t="n">
        <f aca="false">F170/D170</f>
        <v>9.68421052631579</v>
      </c>
    </row>
    <row r="171" customFormat="false" ht="25.35" hidden="false" customHeight="false" outlineLevel="0" collapsed="false">
      <c r="A171" s="41" t="s">
        <v>660</v>
      </c>
      <c r="B171" s="42" t="n">
        <v>10000</v>
      </c>
      <c r="C171" s="42" t="n">
        <v>1500</v>
      </c>
      <c r="D171" s="42" t="n">
        <v>11500</v>
      </c>
      <c r="E171" s="42" t="n">
        <v>138000</v>
      </c>
      <c r="F171" s="42" t="n">
        <v>110400</v>
      </c>
      <c r="G171" s="43" t="n">
        <f aca="false">F171/B171</f>
        <v>11.04</v>
      </c>
      <c r="H171" s="43" t="n">
        <f aca="false">F171/D171</f>
        <v>9.6</v>
      </c>
    </row>
    <row r="174" customFormat="false" ht="15" hidden="false" customHeight="false" outlineLevel="0" collapsed="false">
      <c r="A174" s="44" t="s">
        <v>661</v>
      </c>
    </row>
    <row r="175" customFormat="false" ht="15" hidden="false" customHeight="false" outlineLevel="0" collapsed="false">
      <c r="A175" s="17" t="s">
        <v>662</v>
      </c>
    </row>
    <row r="176" customFormat="false" ht="15" hidden="false" customHeight="false" outlineLevel="0" collapsed="false">
      <c r="A176" s="17" t="s">
        <v>663</v>
      </c>
    </row>
    <row r="177" customFormat="false" ht="15" hidden="false" customHeight="false" outlineLevel="0" collapsed="false">
      <c r="A177" s="17" t="s">
        <v>664</v>
      </c>
    </row>
    <row r="179" customFormat="false" ht="26.85" hidden="false" customHeight="false" outlineLevel="0" collapsed="false">
      <c r="A179" s="3" t="s">
        <v>665</v>
      </c>
      <c r="B179" s="3" t="s">
        <v>666</v>
      </c>
      <c r="C179" s="3" t="s">
        <v>667</v>
      </c>
      <c r="D179" s="3" t="s">
        <v>668</v>
      </c>
    </row>
    <row r="180" customFormat="false" ht="15" hidden="false" customHeight="false" outlineLevel="0" collapsed="false">
      <c r="A180" s="8" t="s">
        <v>669</v>
      </c>
      <c r="B180" s="45" t="n">
        <v>0.03</v>
      </c>
      <c r="C180" s="46" t="n">
        <f aca="false">B180*12/11.04</f>
        <v>0.0326086956521739</v>
      </c>
      <c r="D180" s="46" t="n">
        <f aca="false">B180*12/9.6</f>
        <v>0.0375</v>
      </c>
    </row>
    <row r="181" customFormat="false" ht="15" hidden="false" customHeight="false" outlineLevel="0" collapsed="false">
      <c r="A181" s="8" t="s">
        <v>670</v>
      </c>
      <c r="B181" s="45" t="n">
        <v>0.15</v>
      </c>
      <c r="C181" s="46" t="n">
        <f aca="false">B181*12/11.04</f>
        <v>0.16304347826087</v>
      </c>
      <c r="D181" s="46" t="n">
        <f aca="false">B181*12/9.6</f>
        <v>0.1875</v>
      </c>
    </row>
    <row r="182" customFormat="false" ht="49.25" hidden="false" customHeight="false" outlineLevel="0" collapsed="false">
      <c r="A182" s="8" t="s">
        <v>671</v>
      </c>
      <c r="B182" s="45" t="n">
        <v>0.2</v>
      </c>
      <c r="C182" s="46" t="n">
        <f aca="false">B182*12/11.04</f>
        <v>0.217391304347826</v>
      </c>
      <c r="D182" s="46" t="n">
        <f aca="false">B182*12/9.6</f>
        <v>0.25</v>
      </c>
    </row>
    <row r="183" customFormat="false" ht="49.25" hidden="false" customHeight="false" outlineLevel="0" collapsed="false">
      <c r="A183" s="8" t="s">
        <v>672</v>
      </c>
      <c r="B183" s="45" t="n">
        <v>0.22</v>
      </c>
      <c r="C183" s="46" t="n">
        <f aca="false">B183*12/11.04</f>
        <v>0.239130434782609</v>
      </c>
      <c r="D183" s="46" t="n">
        <f aca="false">B183*12/9.6</f>
        <v>0.275</v>
      </c>
    </row>
    <row r="185" customFormat="false" ht="15" hidden="false" customHeight="false" outlineLevel="0" collapsed="false">
      <c r="A185" s="14" t="s">
        <v>673</v>
      </c>
    </row>
    <row r="186" customFormat="false" ht="15" hidden="false" customHeight="false" outlineLevel="0" collapsed="false">
      <c r="A186" s="14" t="s">
        <v>674</v>
      </c>
    </row>
    <row r="188" customFormat="false" ht="15" hidden="false" customHeight="false" outlineLevel="0" collapsed="false">
      <c r="A188" s="13" t="s">
        <v>675</v>
      </c>
    </row>
    <row r="189" customFormat="false" ht="15" hidden="false" customHeight="false" outlineLevel="0" collapsed="false">
      <c r="A189" s="2" t="s">
        <v>676</v>
      </c>
    </row>
    <row r="190" customFormat="false" ht="15" hidden="false" customHeight="false" outlineLevel="0" collapsed="false">
      <c r="A190" s="13" t="s">
        <v>232</v>
      </c>
      <c r="B190" s="47" t="n">
        <v>0.855285665412248</v>
      </c>
      <c r="C190" s="2" t="s">
        <v>677</v>
      </c>
    </row>
    <row r="192" customFormat="false" ht="15" hidden="false" customHeight="false" outlineLevel="0" collapsed="false">
      <c r="A192" s="3" t="s">
        <v>182</v>
      </c>
      <c r="B192" s="3" t="s">
        <v>555</v>
      </c>
      <c r="C192" s="3" t="s">
        <v>678</v>
      </c>
      <c r="D192" s="3" t="s">
        <v>679</v>
      </c>
    </row>
    <row r="193" customFormat="false" ht="26.85" hidden="false" customHeight="false" outlineLevel="0" collapsed="false">
      <c r="A193" s="8" t="s">
        <v>680</v>
      </c>
      <c r="B193" s="45" t="n">
        <v>0.08</v>
      </c>
      <c r="C193" s="48" t="n">
        <f aca="false">B193</f>
        <v>0.08</v>
      </c>
      <c r="D193" s="48" t="n">
        <f aca="false">B193*$B$190</f>
        <v>0.0684228532329798</v>
      </c>
    </row>
    <row r="194" customFormat="false" ht="39.55" hidden="false" customHeight="false" outlineLevel="0" collapsed="false">
      <c r="A194" s="8" t="s">
        <v>681</v>
      </c>
      <c r="B194" s="45" t="n">
        <v>0.12</v>
      </c>
      <c r="C194" s="48" t="n">
        <f aca="false">B194</f>
        <v>0.12</v>
      </c>
      <c r="D194" s="48" t="n">
        <f aca="false">B194*$B$190</f>
        <v>0.10263427984947</v>
      </c>
    </row>
    <row r="195" customFormat="false" ht="15" hidden="false" customHeight="false" outlineLevel="0" collapsed="false">
      <c r="A195" s="8" t="s">
        <v>682</v>
      </c>
      <c r="B195" s="45" t="n">
        <v>0.8</v>
      </c>
      <c r="C195" s="48" t="n">
        <f aca="false">B195</f>
        <v>0.8</v>
      </c>
      <c r="D195" s="48" t="n">
        <f aca="false">B195*$B$190</f>
        <v>0.684228532329798</v>
      </c>
    </row>
    <row r="197" customFormat="false" ht="15" hidden="false" customHeight="false" outlineLevel="0" collapsed="false">
      <c r="A197" s="14" t="s">
        <v>683</v>
      </c>
    </row>
    <row r="198" customFormat="false" ht="15" hidden="false" customHeight="false" outlineLevel="0" collapsed="false">
      <c r="A198" s="14" t="s">
        <v>684</v>
      </c>
    </row>
    <row r="199" customFormat="false" ht="15" hidden="false" customHeight="false" outlineLevel="0" collapsed="false">
      <c r="A199" s="14" t="s">
        <v>685</v>
      </c>
    </row>
    <row r="201" customFormat="false" ht="15" hidden="false" customHeight="false" outlineLevel="0" collapsed="false">
      <c r="A201" s="13" t="s">
        <v>686</v>
      </c>
    </row>
    <row r="202" customFormat="false" ht="15" hidden="false" customHeight="false" outlineLevel="0" collapsed="false">
      <c r="A202" s="2" t="s">
        <v>687</v>
      </c>
    </row>
    <row r="203" customFormat="false" ht="15" hidden="false" customHeight="false" outlineLevel="0" collapsed="false">
      <c r="A203" s="3" t="s">
        <v>438</v>
      </c>
      <c r="B203" s="3" t="s">
        <v>688</v>
      </c>
      <c r="C203" s="3" t="s">
        <v>183</v>
      </c>
      <c r="D203" s="3" t="s">
        <v>689</v>
      </c>
      <c r="E203" s="3" t="s">
        <v>690</v>
      </c>
    </row>
    <row r="204" customFormat="false" ht="74.6" hidden="false" customHeight="false" outlineLevel="0" collapsed="false">
      <c r="A204" s="8" t="s">
        <v>18</v>
      </c>
      <c r="B204" s="10" t="s">
        <v>691</v>
      </c>
      <c r="C204" s="10" t="s">
        <v>692</v>
      </c>
      <c r="D204" s="9" t="s">
        <v>89</v>
      </c>
      <c r="E204" s="9" t="s">
        <v>693</v>
      </c>
    </row>
    <row r="205" customFormat="false" ht="64.9" hidden="false" customHeight="false" outlineLevel="0" collapsed="false">
      <c r="A205" s="8" t="s">
        <v>16</v>
      </c>
      <c r="B205" s="10" t="s">
        <v>694</v>
      </c>
      <c r="C205" s="10" t="s">
        <v>695</v>
      </c>
      <c r="D205" s="10" t="s">
        <v>696</v>
      </c>
      <c r="E205" s="9" t="s">
        <v>697</v>
      </c>
    </row>
    <row r="206" customFormat="false" ht="64.9" hidden="false" customHeight="false" outlineLevel="0" collapsed="false">
      <c r="A206" s="8" t="s">
        <v>15</v>
      </c>
      <c r="B206" s="10" t="s">
        <v>698</v>
      </c>
      <c r="C206" s="10" t="s">
        <v>699</v>
      </c>
      <c r="D206" s="10" t="s">
        <v>700</v>
      </c>
      <c r="E206" s="9" t="s">
        <v>701</v>
      </c>
    </row>
    <row r="207" customFormat="false" ht="64.9" hidden="false" customHeight="false" outlineLevel="0" collapsed="false">
      <c r="A207" s="8" t="s">
        <v>11</v>
      </c>
      <c r="B207" s="10" t="s">
        <v>702</v>
      </c>
      <c r="C207" s="9" t="s">
        <v>703</v>
      </c>
      <c r="D207" s="9" t="s">
        <v>704</v>
      </c>
      <c r="E207" s="9" t="s">
        <v>705</v>
      </c>
    </row>
    <row r="208" customFormat="false" ht="52.2" hidden="false" customHeight="false" outlineLevel="0" collapsed="false">
      <c r="A208" s="8" t="s">
        <v>17</v>
      </c>
      <c r="B208" s="9" t="s">
        <v>41</v>
      </c>
      <c r="C208" s="10" t="s">
        <v>706</v>
      </c>
      <c r="D208" s="9" t="s">
        <v>707</v>
      </c>
      <c r="E208" s="9" t="s">
        <v>708</v>
      </c>
    </row>
    <row r="210" customFormat="false" ht="15" hidden="false" customHeight="false" outlineLevel="0" collapsed="false">
      <c r="A210" s="14" t="s">
        <v>709</v>
      </c>
    </row>
    <row r="211" customFormat="false" ht="15" hidden="false" customHeight="false" outlineLevel="0" collapsed="false">
      <c r="A211" s="14" t="s">
        <v>710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7"/>
    <col collapsed="false" customWidth="true" hidden="false" outlineLevel="0" max="3" min="3" style="0" width="19"/>
    <col collapsed="false" customWidth="true" hidden="false" outlineLevel="0" max="4" min="4" style="0" width="17"/>
    <col collapsed="false" customWidth="true" hidden="false" outlineLevel="0" max="5" min="5" style="0" width="19"/>
    <col collapsed="false" customWidth="true" hidden="false" outlineLevel="0" max="6" min="6" style="0" width="24"/>
  </cols>
  <sheetData>
    <row r="1" customFormat="false" ht="19.4" hidden="false" customHeight="false" outlineLevel="0" collapsed="false">
      <c r="A1" s="1" t="s">
        <v>711</v>
      </c>
    </row>
    <row r="3" customFormat="false" ht="15" hidden="false" customHeight="false" outlineLevel="0" collapsed="false">
      <c r="A3" s="49" t="s">
        <v>712</v>
      </c>
    </row>
    <row r="4" customFormat="false" ht="15" hidden="false" customHeight="false" outlineLevel="0" collapsed="false">
      <c r="A4" s="50" t="s">
        <v>713</v>
      </c>
    </row>
    <row r="5" customFormat="false" ht="15" hidden="false" customHeight="false" outlineLevel="0" collapsed="false">
      <c r="A5" s="13" t="s">
        <v>714</v>
      </c>
      <c r="B5" s="51" t="n">
        <v>10</v>
      </c>
      <c r="C5" s="50" t="s">
        <v>715</v>
      </c>
    </row>
    <row r="7" customFormat="false" ht="15" hidden="false" customHeight="false" outlineLevel="0" collapsed="false">
      <c r="A7" s="3" t="s">
        <v>3</v>
      </c>
      <c r="B7" s="3" t="s">
        <v>716</v>
      </c>
      <c r="C7" s="3" t="s">
        <v>717</v>
      </c>
      <c r="D7" s="3" t="s">
        <v>718</v>
      </c>
      <c r="E7" s="3" t="s">
        <v>719</v>
      </c>
      <c r="F7" s="3" t="s">
        <v>720</v>
      </c>
    </row>
    <row r="8" customFormat="false" ht="15" hidden="false" customHeight="false" outlineLevel="0" collapsed="false">
      <c r="A8" s="10" t="s">
        <v>721</v>
      </c>
      <c r="B8" s="52" t="n">
        <v>1</v>
      </c>
      <c r="C8" s="52" t="n">
        <v>2</v>
      </c>
      <c r="D8" s="52" t="n">
        <v>2</v>
      </c>
      <c r="E8" s="52" t="n">
        <v>3</v>
      </c>
      <c r="F8" s="52" t="n">
        <v>5</v>
      </c>
    </row>
    <row r="9" customFormat="false" ht="15" hidden="false" customHeight="false" outlineLevel="0" collapsed="false">
      <c r="A9" s="10" t="s">
        <v>722</v>
      </c>
      <c r="B9" s="42" t="n">
        <v>1000</v>
      </c>
      <c r="C9" s="42" t="n">
        <v>100000</v>
      </c>
      <c r="D9" s="42" t="n">
        <v>500000</v>
      </c>
      <c r="E9" s="42" t="n">
        <v>3000000</v>
      </c>
      <c r="F9" s="42" t="n">
        <v>5000000</v>
      </c>
    </row>
    <row r="10" customFormat="false" ht="15" hidden="false" customHeight="false" outlineLevel="0" collapsed="false">
      <c r="A10" s="10" t="s">
        <v>723</v>
      </c>
      <c r="B10" s="42" t="n">
        <v>10</v>
      </c>
      <c r="C10" s="42" t="n">
        <v>100</v>
      </c>
      <c r="D10" s="42" t="n">
        <v>200</v>
      </c>
      <c r="E10" s="42" t="n">
        <v>500</v>
      </c>
      <c r="F10" s="42" t="n">
        <v>1000</v>
      </c>
    </row>
    <row r="11" customFormat="false" ht="15" hidden="false" customHeight="false" outlineLevel="0" collapsed="false">
      <c r="A11" s="10" t="s">
        <v>724</v>
      </c>
      <c r="B11" s="53" t="n">
        <v>0.7</v>
      </c>
      <c r="C11" s="53" t="n">
        <v>0.75</v>
      </c>
      <c r="D11" s="53" t="n">
        <v>0.8</v>
      </c>
      <c r="E11" s="53" t="n">
        <v>0.85</v>
      </c>
      <c r="F11" s="53" t="n">
        <v>0.9</v>
      </c>
    </row>
    <row r="12" customFormat="false" ht="15" hidden="false" customHeight="false" outlineLevel="0" collapsed="false">
      <c r="A12" s="10" t="s">
        <v>725</v>
      </c>
      <c r="B12" s="53" t="n">
        <v>0.1</v>
      </c>
      <c r="C12" s="53" t="n">
        <v>0.1</v>
      </c>
      <c r="D12" s="53" t="n">
        <v>0.11</v>
      </c>
      <c r="E12" s="53" t="n">
        <v>0.12</v>
      </c>
      <c r="F12" s="53" t="n">
        <v>0.13</v>
      </c>
    </row>
    <row r="13" customFormat="false" ht="15" hidden="false" customHeight="false" outlineLevel="0" collapsed="false">
      <c r="A13" s="10" t="s">
        <v>726</v>
      </c>
      <c r="B13" s="53" t="n">
        <v>0.11</v>
      </c>
      <c r="C13" s="53" t="n">
        <v>0.11</v>
      </c>
      <c r="D13" s="53" t="n">
        <v>0.14</v>
      </c>
      <c r="E13" s="53" t="n">
        <v>0.17</v>
      </c>
      <c r="F13" s="53" t="n">
        <v>0.2</v>
      </c>
    </row>
    <row r="14" customFormat="false" ht="15" hidden="false" customHeight="false" outlineLevel="0" collapsed="false">
      <c r="A14" s="12" t="s">
        <v>727</v>
      </c>
      <c r="B14" s="54" t="n">
        <f aca="false">B12/$B$5</f>
        <v>0.01</v>
      </c>
      <c r="C14" s="54" t="n">
        <f aca="false">C12/$B$5</f>
        <v>0.01</v>
      </c>
      <c r="D14" s="54" t="n">
        <f aca="false">D12/$B$5</f>
        <v>0.011</v>
      </c>
      <c r="E14" s="54" t="n">
        <f aca="false">E12/$B$5</f>
        <v>0.012</v>
      </c>
      <c r="F14" s="54" t="n">
        <f aca="false">F12/$B$5</f>
        <v>0.013</v>
      </c>
    </row>
    <row r="15" customFormat="false" ht="15" hidden="false" customHeight="false" outlineLevel="0" collapsed="false">
      <c r="A15" s="12" t="s">
        <v>728</v>
      </c>
      <c r="B15" s="54" t="n">
        <f aca="false">B13/$B$5</f>
        <v>0.011</v>
      </c>
      <c r="C15" s="54" t="n">
        <f aca="false">C13/$B$5</f>
        <v>0.011</v>
      </c>
      <c r="D15" s="54" t="n">
        <f aca="false">D13/$B$5</f>
        <v>0.014</v>
      </c>
      <c r="E15" s="54" t="n">
        <f aca="false">E13/$B$5</f>
        <v>0.017</v>
      </c>
      <c r="F15" s="54" t="n">
        <f aca="false">F13/$B$5</f>
        <v>0.02</v>
      </c>
    </row>
    <row r="16" customFormat="false" ht="15" hidden="false" customHeight="false" outlineLevel="0" collapsed="false">
      <c r="A16" s="12" t="s">
        <v>729</v>
      </c>
      <c r="B16" s="54" t="n">
        <f aca="false">(B13+0.03)/$B$5</f>
        <v>0.014</v>
      </c>
      <c r="C16" s="54" t="n">
        <f aca="false">(C13+0.03)/$B$5</f>
        <v>0.014</v>
      </c>
      <c r="D16" s="54" t="n">
        <f aca="false">(D13+0.03)/$B$5</f>
        <v>0.017</v>
      </c>
      <c r="E16" s="54" t="n">
        <f aca="false">(E13+0.03)/$B$5</f>
        <v>0.02</v>
      </c>
      <c r="F16" s="54" t="n">
        <f aca="false">(F13+0.03)/$B$5</f>
        <v>0.023</v>
      </c>
    </row>
    <row r="17" customFormat="false" ht="15" hidden="false" customHeight="false" outlineLevel="0" collapsed="false">
      <c r="A17" s="10" t="s">
        <v>730</v>
      </c>
      <c r="B17" s="55" t="s">
        <v>366</v>
      </c>
      <c r="C17" s="55" t="n">
        <v>10000</v>
      </c>
      <c r="D17" s="55" t="n">
        <v>50000</v>
      </c>
      <c r="E17" s="55" t="n">
        <v>300000</v>
      </c>
      <c r="F17" s="55" t="n">
        <v>500000</v>
      </c>
    </row>
    <row r="20" customFormat="false" ht="15" hidden="false" customHeight="false" outlineLevel="0" collapsed="false">
      <c r="A20" s="13" t="s">
        <v>731</v>
      </c>
    </row>
    <row r="22" customFormat="false" ht="15" hidden="false" customHeight="false" outlineLevel="0" collapsed="false">
      <c r="A22" s="49" t="s">
        <v>732</v>
      </c>
    </row>
    <row r="23" customFormat="false" ht="15" hidden="false" customHeight="false" outlineLevel="0" collapsed="false">
      <c r="A23" s="2" t="s">
        <v>733</v>
      </c>
    </row>
    <row r="25" customFormat="false" ht="15" hidden="false" customHeight="false" outlineLevel="0" collapsed="false">
      <c r="A25" s="15" t="s">
        <v>3</v>
      </c>
      <c r="B25" s="15" t="s">
        <v>734</v>
      </c>
      <c r="C25" s="15" t="s">
        <v>735</v>
      </c>
      <c r="D25" s="15" t="s">
        <v>736</v>
      </c>
      <c r="E25" s="15" t="s">
        <v>737</v>
      </c>
      <c r="F25" s="15" t="s">
        <v>738</v>
      </c>
    </row>
    <row r="26" customFormat="false" ht="15" hidden="false" customHeight="false" outlineLevel="0" collapsed="false">
      <c r="A26" s="8" t="s">
        <v>739</v>
      </c>
      <c r="B26" s="56" t="s">
        <v>740</v>
      </c>
      <c r="C26" s="56" t="s">
        <v>740</v>
      </c>
      <c r="D26" s="56" t="s">
        <v>741</v>
      </c>
      <c r="E26" s="56" t="s">
        <v>742</v>
      </c>
      <c r="F26" s="56" t="s">
        <v>743</v>
      </c>
    </row>
    <row r="27" customFormat="false" ht="15" hidden="false" customHeight="false" outlineLevel="0" collapsed="false">
      <c r="A27" s="41" t="s">
        <v>744</v>
      </c>
      <c r="B27" s="42" t="n">
        <v>100000</v>
      </c>
      <c r="C27" s="42" t="n">
        <v>200000</v>
      </c>
      <c r="D27" s="42" t="n">
        <v>300000</v>
      </c>
      <c r="E27" s="42" t="n">
        <v>500000</v>
      </c>
      <c r="F27" s="42" t="n">
        <v>800000</v>
      </c>
    </row>
    <row r="28" customFormat="false" ht="15" hidden="false" customHeight="false" outlineLevel="0" collapsed="false">
      <c r="A28" s="41" t="s">
        <v>745</v>
      </c>
      <c r="B28" s="42" t="n">
        <v>1</v>
      </c>
      <c r="C28" s="42" t="n">
        <v>5</v>
      </c>
      <c r="D28" s="42" t="n">
        <v>5</v>
      </c>
      <c r="E28" s="42" t="n">
        <v>5</v>
      </c>
      <c r="F28" s="42" t="n">
        <v>10</v>
      </c>
    </row>
    <row r="29" customFormat="false" ht="15" hidden="false" customHeight="false" outlineLevel="0" collapsed="false">
      <c r="A29" s="41" t="s">
        <v>746</v>
      </c>
      <c r="B29" s="42" t="n">
        <v>50</v>
      </c>
      <c r="C29" s="42" t="n">
        <v>80</v>
      </c>
      <c r="D29" s="42" t="n">
        <v>100</v>
      </c>
      <c r="E29" s="42" t="n">
        <v>200</v>
      </c>
      <c r="F29" s="42" t="n">
        <v>300</v>
      </c>
    </row>
    <row r="30" customFormat="false" ht="15" hidden="false" customHeight="false" outlineLevel="0" collapsed="false">
      <c r="A30" s="41" t="s">
        <v>747</v>
      </c>
      <c r="B30" s="56" t="s">
        <v>366</v>
      </c>
      <c r="C30" s="42" t="n">
        <v>500000</v>
      </c>
      <c r="D30" s="42" t="n">
        <v>1500000</v>
      </c>
      <c r="E30" s="42" t="n">
        <v>3000000</v>
      </c>
      <c r="F30" s="42" t="n">
        <v>4000000</v>
      </c>
    </row>
    <row r="31" customFormat="false" ht="15" hidden="false" customHeight="false" outlineLevel="0" collapsed="false">
      <c r="A31" s="41" t="s">
        <v>748</v>
      </c>
      <c r="B31" s="56" t="s">
        <v>366</v>
      </c>
      <c r="C31" s="42" t="n">
        <v>100</v>
      </c>
      <c r="D31" s="42" t="n">
        <v>200</v>
      </c>
      <c r="E31" s="42" t="n">
        <v>500</v>
      </c>
      <c r="F31" s="42" t="n">
        <v>800</v>
      </c>
    </row>
    <row r="32" customFormat="false" ht="15" hidden="false" customHeight="false" outlineLevel="0" collapsed="false">
      <c r="A32" s="57" t="s">
        <v>749</v>
      </c>
      <c r="B32" s="58" t="n">
        <v>0.9</v>
      </c>
      <c r="C32" s="58" t="n">
        <v>0.95</v>
      </c>
      <c r="D32" s="58" t="n">
        <v>0.97</v>
      </c>
      <c r="E32" s="58" t="n">
        <v>0.97</v>
      </c>
      <c r="F32" s="58" t="n">
        <v>0.97</v>
      </c>
    </row>
    <row r="33" customFormat="false" ht="15" hidden="false" customHeight="false" outlineLevel="0" collapsed="false">
      <c r="A33" s="41" t="s">
        <v>750</v>
      </c>
      <c r="B33" s="59" t="s">
        <v>751</v>
      </c>
      <c r="C33" s="59" t="s">
        <v>752</v>
      </c>
      <c r="D33" s="59" t="s">
        <v>753</v>
      </c>
      <c r="E33" s="59" t="s">
        <v>754</v>
      </c>
      <c r="F33" s="59" t="s">
        <v>754</v>
      </c>
    </row>
    <row r="34" customFormat="false" ht="15" hidden="false" customHeight="false" outlineLevel="0" collapsed="false">
      <c r="A34" s="41" t="s">
        <v>755</v>
      </c>
      <c r="B34" s="56" t="s">
        <v>756</v>
      </c>
      <c r="C34" s="56" t="s">
        <v>756</v>
      </c>
      <c r="D34" s="56" t="s">
        <v>756</v>
      </c>
      <c r="E34" s="56" t="s">
        <v>756</v>
      </c>
      <c r="F34" s="56" t="s">
        <v>756</v>
      </c>
    </row>
    <row r="35" customFormat="false" ht="15" hidden="false" customHeight="false" outlineLevel="0" collapsed="false">
      <c r="A35" s="41" t="s">
        <v>757</v>
      </c>
      <c r="B35" s="59" t="s">
        <v>758</v>
      </c>
      <c r="C35" s="59" t="s">
        <v>758</v>
      </c>
      <c r="D35" s="59" t="s">
        <v>758</v>
      </c>
      <c r="E35" s="59" t="s">
        <v>759</v>
      </c>
      <c r="F35" s="59" t="s">
        <v>759</v>
      </c>
    </row>
    <row r="36" customFormat="false" ht="15" hidden="false" customHeight="false" outlineLevel="0" collapsed="false">
      <c r="A36" s="41" t="s">
        <v>760</v>
      </c>
      <c r="B36" s="59" t="s">
        <v>761</v>
      </c>
      <c r="C36" s="59" t="s">
        <v>761</v>
      </c>
      <c r="D36" s="59" t="s">
        <v>761</v>
      </c>
      <c r="E36" s="59" t="s">
        <v>762</v>
      </c>
      <c r="F36" s="59" t="s">
        <v>762</v>
      </c>
    </row>
    <row r="37" customFormat="false" ht="15" hidden="false" customHeight="false" outlineLevel="0" collapsed="false">
      <c r="A37" s="41" t="s">
        <v>763</v>
      </c>
      <c r="B37" s="56" t="s">
        <v>366</v>
      </c>
      <c r="C37" s="56" t="s">
        <v>366</v>
      </c>
      <c r="D37" s="56" t="s">
        <v>764</v>
      </c>
      <c r="E37" s="56" t="s">
        <v>765</v>
      </c>
      <c r="F37" s="56" t="s">
        <v>766</v>
      </c>
    </row>
    <row r="38" customFormat="false" ht="15" hidden="false" customHeight="false" outlineLevel="0" collapsed="false">
      <c r="A38" s="41" t="s">
        <v>767</v>
      </c>
      <c r="B38" s="56" t="s">
        <v>366</v>
      </c>
      <c r="C38" s="56" t="s">
        <v>366</v>
      </c>
      <c r="D38" s="59" t="s">
        <v>758</v>
      </c>
      <c r="E38" s="59" t="s">
        <v>758</v>
      </c>
      <c r="F38" s="59" t="s">
        <v>758</v>
      </c>
    </row>
    <row r="39" customFormat="false" ht="15" hidden="false" customHeight="false" outlineLevel="0" collapsed="false">
      <c r="A39" s="41" t="s">
        <v>768</v>
      </c>
      <c r="B39" s="56" t="s">
        <v>366</v>
      </c>
      <c r="C39" s="56" t="s">
        <v>769</v>
      </c>
      <c r="D39" s="56" t="s">
        <v>770</v>
      </c>
      <c r="E39" s="56" t="s">
        <v>771</v>
      </c>
      <c r="F39" s="56" t="s">
        <v>772</v>
      </c>
    </row>
    <row r="40" customFormat="false" ht="15" hidden="false" customHeight="false" outlineLevel="0" collapsed="false">
      <c r="A40" s="41" t="s">
        <v>773</v>
      </c>
      <c r="B40" s="56" t="s">
        <v>366</v>
      </c>
      <c r="C40" s="59" t="s">
        <v>774</v>
      </c>
      <c r="D40" s="59" t="s">
        <v>774</v>
      </c>
      <c r="E40" s="59" t="s">
        <v>758</v>
      </c>
      <c r="F40" s="59" t="s">
        <v>758</v>
      </c>
    </row>
    <row r="41" customFormat="false" ht="15" hidden="false" customHeight="false" outlineLevel="0" collapsed="false">
      <c r="A41" s="41" t="s">
        <v>775</v>
      </c>
      <c r="B41" s="56" t="s">
        <v>366</v>
      </c>
      <c r="C41" s="56" t="s">
        <v>366</v>
      </c>
      <c r="D41" s="56" t="s">
        <v>366</v>
      </c>
      <c r="E41" s="59" t="s">
        <v>758</v>
      </c>
      <c r="F41" s="59" t="s">
        <v>758</v>
      </c>
    </row>
    <row r="42" customFormat="false" ht="15" hidden="false" customHeight="false" outlineLevel="0" collapsed="false">
      <c r="A42" s="41" t="s">
        <v>776</v>
      </c>
      <c r="B42" s="56" t="s">
        <v>366</v>
      </c>
      <c r="C42" s="59" t="s">
        <v>758</v>
      </c>
      <c r="D42" s="59" t="s">
        <v>758</v>
      </c>
      <c r="E42" s="59" t="s">
        <v>758</v>
      </c>
      <c r="F42" s="59" t="s">
        <v>758</v>
      </c>
    </row>
    <row r="43" customFormat="false" ht="15" hidden="false" customHeight="false" outlineLevel="0" collapsed="false">
      <c r="A43" s="41" t="s">
        <v>777</v>
      </c>
      <c r="B43" s="56" t="s">
        <v>366</v>
      </c>
      <c r="C43" s="56" t="s">
        <v>366</v>
      </c>
      <c r="D43" s="59" t="s">
        <v>774</v>
      </c>
      <c r="E43" s="59" t="s">
        <v>778</v>
      </c>
      <c r="F43" s="59" t="s">
        <v>778</v>
      </c>
    </row>
    <row r="44" customFormat="false" ht="15" hidden="false" customHeight="false" outlineLevel="0" collapsed="false">
      <c r="A44" s="41" t="s">
        <v>779</v>
      </c>
      <c r="B44" s="56" t="s">
        <v>366</v>
      </c>
      <c r="C44" s="56" t="s">
        <v>366</v>
      </c>
      <c r="D44" s="59" t="s">
        <v>780</v>
      </c>
      <c r="E44" s="59" t="s">
        <v>759</v>
      </c>
      <c r="F44" s="59" t="s">
        <v>759</v>
      </c>
    </row>
    <row r="45" customFormat="false" ht="15" hidden="false" customHeight="false" outlineLevel="0" collapsed="false">
      <c r="A45" s="41" t="s">
        <v>781</v>
      </c>
      <c r="B45" s="56" t="s">
        <v>366</v>
      </c>
      <c r="C45" s="56" t="s">
        <v>366</v>
      </c>
      <c r="D45" s="56" t="s">
        <v>366</v>
      </c>
      <c r="E45" s="59" t="s">
        <v>782</v>
      </c>
      <c r="F45" s="59" t="s">
        <v>783</v>
      </c>
    </row>
    <row r="46" customFormat="false" ht="15" hidden="false" customHeight="false" outlineLevel="0" collapsed="false">
      <c r="A46" s="41" t="s">
        <v>784</v>
      </c>
      <c r="B46" s="56" t="s">
        <v>785</v>
      </c>
      <c r="C46" s="56" t="s">
        <v>785</v>
      </c>
      <c r="D46" s="56" t="s">
        <v>785</v>
      </c>
      <c r="E46" s="56" t="s">
        <v>785</v>
      </c>
      <c r="F46" s="56" t="s">
        <v>785</v>
      </c>
    </row>
    <row r="48" customFormat="false" ht="15" hidden="false" customHeight="false" outlineLevel="0" collapsed="false">
      <c r="A48" s="13" t="s">
        <v>786</v>
      </c>
    </row>
    <row r="49" customFormat="false" ht="15" hidden="false" customHeight="false" outlineLevel="0" collapsed="false">
      <c r="A49" s="17" t="s">
        <v>787</v>
      </c>
    </row>
    <row r="51" customFormat="false" ht="15" hidden="false" customHeight="false" outlineLevel="0" collapsed="false">
      <c r="A51" s="13" t="s">
        <v>788</v>
      </c>
    </row>
    <row r="52" customFormat="false" ht="15" hidden="false" customHeight="false" outlineLevel="0" collapsed="false">
      <c r="A52" s="14" t="s">
        <v>789</v>
      </c>
    </row>
    <row r="53" customFormat="false" ht="15" hidden="false" customHeight="false" outlineLevel="0" collapsed="false">
      <c r="A53" s="14" t="s">
        <v>790</v>
      </c>
    </row>
    <row r="54" customFormat="false" ht="15" hidden="false" customHeight="false" outlineLevel="0" collapsed="false">
      <c r="A54" s="14" t="s">
        <v>791</v>
      </c>
    </row>
    <row r="56" customFormat="false" ht="15" hidden="false" customHeight="false" outlineLevel="0" collapsed="false">
      <c r="A56" s="49" t="s">
        <v>792</v>
      </c>
    </row>
    <row r="57" customFormat="false" ht="15" hidden="false" customHeight="false" outlineLevel="0" collapsed="false">
      <c r="A57" s="2" t="s">
        <v>793</v>
      </c>
    </row>
    <row r="59" customFormat="false" ht="15" hidden="false" customHeight="false" outlineLevel="0" collapsed="false">
      <c r="A59" s="15" t="s">
        <v>3</v>
      </c>
      <c r="B59" s="15" t="s">
        <v>794</v>
      </c>
      <c r="C59" s="15" t="s">
        <v>795</v>
      </c>
      <c r="D59" s="15" t="s">
        <v>796</v>
      </c>
    </row>
    <row r="60" customFormat="false" ht="15" hidden="false" customHeight="false" outlineLevel="0" collapsed="false">
      <c r="A60" s="10" t="s">
        <v>797</v>
      </c>
      <c r="B60" s="35" t="s">
        <v>798</v>
      </c>
      <c r="C60" s="35" t="s">
        <v>799</v>
      </c>
      <c r="D60" s="35" t="s">
        <v>800</v>
      </c>
    </row>
    <row r="61" customFormat="false" ht="28.35" hidden="false" customHeight="false" outlineLevel="0" collapsed="false">
      <c r="A61" s="10" t="s">
        <v>801</v>
      </c>
      <c r="B61" s="35" t="s">
        <v>802</v>
      </c>
      <c r="C61" s="35" t="s">
        <v>803</v>
      </c>
      <c r="D61" s="35" t="s">
        <v>804</v>
      </c>
    </row>
    <row r="62" customFormat="false" ht="15" hidden="false" customHeight="false" outlineLevel="0" collapsed="false">
      <c r="A62" s="10" t="s">
        <v>805</v>
      </c>
      <c r="B62" s="35" t="s">
        <v>806</v>
      </c>
      <c r="C62" s="35" t="s">
        <v>807</v>
      </c>
      <c r="D62" s="35" t="s">
        <v>808</v>
      </c>
    </row>
    <row r="63" customFormat="false" ht="28.35" hidden="false" customHeight="false" outlineLevel="0" collapsed="false">
      <c r="A63" s="10" t="s">
        <v>809</v>
      </c>
      <c r="B63" s="60" t="s">
        <v>810</v>
      </c>
      <c r="C63" s="60" t="s">
        <v>811</v>
      </c>
      <c r="D63" s="60" t="s">
        <v>811</v>
      </c>
    </row>
    <row r="64" customFormat="false" ht="28.35" hidden="false" customHeight="false" outlineLevel="0" collapsed="false">
      <c r="A64" s="10" t="s">
        <v>812</v>
      </c>
      <c r="B64" s="60" t="s">
        <v>813</v>
      </c>
      <c r="C64" s="60" t="s">
        <v>813</v>
      </c>
      <c r="D64" s="60" t="s">
        <v>813</v>
      </c>
    </row>
    <row r="65" customFormat="false" ht="28.35" hidden="false" customHeight="false" outlineLevel="0" collapsed="false">
      <c r="A65" s="12" t="s">
        <v>814</v>
      </c>
      <c r="B65" s="61" t="s">
        <v>815</v>
      </c>
      <c r="C65" s="61" t="s">
        <v>816</v>
      </c>
      <c r="D65" s="61" t="s">
        <v>817</v>
      </c>
    </row>
    <row r="66" customFormat="false" ht="15" hidden="false" customHeight="false" outlineLevel="0" collapsed="false">
      <c r="A66" s="7" t="s">
        <v>818</v>
      </c>
      <c r="B66" s="62" t="s">
        <v>819</v>
      </c>
      <c r="C66" s="62" t="s">
        <v>247</v>
      </c>
      <c r="D66" s="62" t="s">
        <v>247</v>
      </c>
    </row>
    <row r="67" customFormat="false" ht="15" hidden="false" customHeight="false" outlineLevel="0" collapsed="false">
      <c r="A67" s="10" t="s">
        <v>820</v>
      </c>
      <c r="B67" s="60" t="s">
        <v>73</v>
      </c>
      <c r="C67" s="35" t="s">
        <v>821</v>
      </c>
      <c r="D67" s="35" t="s">
        <v>822</v>
      </c>
    </row>
    <row r="68" customFormat="false" ht="15" hidden="false" customHeight="false" outlineLevel="0" collapsed="false">
      <c r="A68" s="10" t="s">
        <v>823</v>
      </c>
      <c r="B68" s="35" t="s">
        <v>824</v>
      </c>
      <c r="C68" s="35" t="s">
        <v>825</v>
      </c>
      <c r="D68" s="35" t="s">
        <v>826</v>
      </c>
    </row>
    <row r="69" customFormat="false" ht="15" hidden="false" customHeight="false" outlineLevel="0" collapsed="false">
      <c r="A69" s="10" t="s">
        <v>827</v>
      </c>
      <c r="B69" s="35" t="s">
        <v>366</v>
      </c>
      <c r="C69" s="60" t="s">
        <v>828</v>
      </c>
      <c r="D69" s="60" t="s">
        <v>828</v>
      </c>
    </row>
    <row r="71" customFormat="false" ht="15" hidden="false" customHeight="false" outlineLevel="0" collapsed="false">
      <c r="A71" s="13" t="s">
        <v>829</v>
      </c>
    </row>
    <row r="72" customFormat="false" ht="15" hidden="false" customHeight="false" outlineLevel="0" collapsed="false">
      <c r="A72" s="14" t="s">
        <v>830</v>
      </c>
    </row>
    <row r="73" customFormat="false" ht="15" hidden="false" customHeight="false" outlineLevel="0" collapsed="false">
      <c r="A73" s="14" t="s">
        <v>831</v>
      </c>
    </row>
    <row r="74" customFormat="false" ht="15" hidden="false" customHeight="false" outlineLevel="0" collapsed="false">
      <c r="A74" s="14" t="s">
        <v>832</v>
      </c>
    </row>
    <row r="75" customFormat="false" ht="15" hidden="false" customHeight="false" outlineLevel="0" collapsed="false">
      <c r="A75" s="14" t="s">
        <v>833</v>
      </c>
    </row>
    <row r="77" customFormat="false" ht="15" hidden="false" customHeight="false" outlineLevel="0" collapsed="false">
      <c r="A77" s="44" t="s">
        <v>834</v>
      </c>
    </row>
    <row r="78" customFormat="false" ht="15" hidden="false" customHeight="false" outlineLevel="0" collapsed="false">
      <c r="A78" s="17" t="s">
        <v>835</v>
      </c>
    </row>
    <row r="79" customFormat="false" ht="15" hidden="false" customHeight="false" outlineLevel="0" collapsed="false">
      <c r="A79" s="14" t="s">
        <v>836</v>
      </c>
    </row>
    <row r="81" customFormat="false" ht="15" hidden="false" customHeight="false" outlineLevel="0" collapsed="false">
      <c r="A81" s="49" t="s">
        <v>837</v>
      </c>
    </row>
    <row r="82" customFormat="false" ht="15" hidden="false" customHeight="false" outlineLevel="0" collapsed="false">
      <c r="A82" s="2" t="s">
        <v>838</v>
      </c>
    </row>
    <row r="84" customFormat="false" ht="15" hidden="false" customHeight="false" outlineLevel="0" collapsed="false">
      <c r="A84" s="15" t="s">
        <v>3</v>
      </c>
      <c r="B84" s="15" t="s">
        <v>839</v>
      </c>
      <c r="C84" s="15" t="s">
        <v>840</v>
      </c>
      <c r="D84" s="15" t="s">
        <v>841</v>
      </c>
      <c r="E84" s="15" t="s">
        <v>842</v>
      </c>
      <c r="F84" s="15" t="s">
        <v>843</v>
      </c>
      <c r="G84" s="15" t="s">
        <v>844</v>
      </c>
      <c r="H84" s="15" t="s">
        <v>845</v>
      </c>
      <c r="I84" s="15" t="s">
        <v>846</v>
      </c>
      <c r="J84" s="15" t="s">
        <v>847</v>
      </c>
      <c r="K84" s="15" t="s">
        <v>848</v>
      </c>
    </row>
    <row r="85" customFormat="false" ht="15" hidden="false" customHeight="false" outlineLevel="0" collapsed="false">
      <c r="A85" s="41" t="s">
        <v>849</v>
      </c>
      <c r="B85" s="56" t="s">
        <v>850</v>
      </c>
      <c r="C85" s="59" t="s">
        <v>851</v>
      </c>
      <c r="D85" s="59" t="s">
        <v>852</v>
      </c>
      <c r="E85" s="59" t="s">
        <v>853</v>
      </c>
      <c r="F85" s="59" t="s">
        <v>854</v>
      </c>
      <c r="G85" s="59" t="s">
        <v>855</v>
      </c>
      <c r="H85" s="59" t="s">
        <v>856</v>
      </c>
      <c r="I85" s="59" t="s">
        <v>857</v>
      </c>
      <c r="J85" s="59" t="s">
        <v>858</v>
      </c>
      <c r="K85" s="59" t="s">
        <v>859</v>
      </c>
    </row>
    <row r="86" customFormat="false" ht="15" hidden="false" customHeight="false" outlineLevel="0" collapsed="false">
      <c r="A86" s="63" t="s">
        <v>860</v>
      </c>
      <c r="B86" s="64" t="n">
        <v>0.03</v>
      </c>
      <c r="C86" s="64" t="n">
        <v>0.04</v>
      </c>
      <c r="D86" s="64" t="n">
        <v>0.05</v>
      </c>
      <c r="E86" s="64" t="n">
        <v>0.06</v>
      </c>
      <c r="F86" s="64" t="n">
        <v>0.07</v>
      </c>
      <c r="G86" s="64" t="n">
        <v>0.08</v>
      </c>
      <c r="H86" s="64" t="n">
        <v>0.09</v>
      </c>
      <c r="I86" s="64" t="n">
        <v>0.1</v>
      </c>
      <c r="J86" s="64" t="n">
        <v>0.12</v>
      </c>
      <c r="K86" s="64" t="n">
        <v>0.15</v>
      </c>
    </row>
    <row r="87" customFormat="false" ht="15" hidden="false" customHeight="false" outlineLevel="0" collapsed="false">
      <c r="A87" s="41" t="s">
        <v>861</v>
      </c>
      <c r="B87" s="56" t="s">
        <v>366</v>
      </c>
      <c r="C87" s="56" t="s">
        <v>862</v>
      </c>
      <c r="D87" s="56" t="s">
        <v>863</v>
      </c>
      <c r="E87" s="56" t="s">
        <v>864</v>
      </c>
      <c r="F87" s="56" t="s">
        <v>865</v>
      </c>
      <c r="G87" s="56" t="s">
        <v>866</v>
      </c>
      <c r="H87" s="56" t="s">
        <v>867</v>
      </c>
      <c r="I87" s="56" t="s">
        <v>868</v>
      </c>
      <c r="J87" s="56" t="s">
        <v>869</v>
      </c>
      <c r="K87" s="56" t="s">
        <v>870</v>
      </c>
    </row>
    <row r="88" customFormat="false" ht="15" hidden="false" customHeight="false" outlineLevel="0" collapsed="false">
      <c r="A88" s="41" t="s">
        <v>871</v>
      </c>
      <c r="B88" s="56" t="s">
        <v>366</v>
      </c>
      <c r="C88" s="56" t="s">
        <v>872</v>
      </c>
      <c r="D88" s="56" t="s">
        <v>872</v>
      </c>
      <c r="E88" s="56" t="s">
        <v>873</v>
      </c>
      <c r="F88" s="56" t="s">
        <v>873</v>
      </c>
      <c r="G88" s="56" t="s">
        <v>873</v>
      </c>
      <c r="H88" s="56" t="s">
        <v>874</v>
      </c>
      <c r="I88" s="56" t="s">
        <v>874</v>
      </c>
      <c r="J88" s="56" t="s">
        <v>875</v>
      </c>
      <c r="K88" s="56" t="s">
        <v>876</v>
      </c>
    </row>
    <row r="89" customFormat="false" ht="15" hidden="false" customHeight="false" outlineLevel="0" collapsed="false">
      <c r="A89" s="41" t="s">
        <v>877</v>
      </c>
      <c r="B89" s="56" t="s">
        <v>366</v>
      </c>
      <c r="C89" s="59" t="s">
        <v>828</v>
      </c>
      <c r="D89" s="59" t="s">
        <v>828</v>
      </c>
      <c r="E89" s="59" t="s">
        <v>828</v>
      </c>
      <c r="F89" s="59" t="s">
        <v>828</v>
      </c>
      <c r="G89" s="59" t="s">
        <v>828</v>
      </c>
      <c r="H89" s="59" t="s">
        <v>828</v>
      </c>
      <c r="I89" s="59" t="s">
        <v>828</v>
      </c>
      <c r="J89" s="59" t="s">
        <v>828</v>
      </c>
      <c r="K89" s="59" t="s">
        <v>828</v>
      </c>
    </row>
    <row r="91" customFormat="false" ht="15" hidden="false" customHeight="false" outlineLevel="0" collapsed="false">
      <c r="A91" s="13" t="s">
        <v>878</v>
      </c>
    </row>
    <row r="92" customFormat="false" ht="15" hidden="false" customHeight="false" outlineLevel="0" collapsed="false">
      <c r="A92" s="14" t="s">
        <v>879</v>
      </c>
    </row>
    <row r="93" customFormat="false" ht="15" hidden="false" customHeight="false" outlineLevel="0" collapsed="false">
      <c r="A93" s="14" t="s">
        <v>880</v>
      </c>
    </row>
    <row r="95" customFormat="false" ht="15" hidden="false" customHeight="false" outlineLevel="0" collapsed="false">
      <c r="A95" s="13" t="s">
        <v>881</v>
      </c>
    </row>
    <row r="96" customFormat="false" ht="15" hidden="false" customHeight="false" outlineLevel="0" collapsed="false">
      <c r="A96" s="14" t="s">
        <v>882</v>
      </c>
    </row>
    <row r="97" customFormat="false" ht="15" hidden="false" customHeight="false" outlineLevel="0" collapsed="false">
      <c r="A97" s="14" t="s">
        <v>883</v>
      </c>
    </row>
    <row r="98" customFormat="false" ht="15" hidden="false" customHeight="false" outlineLevel="0" collapsed="false">
      <c r="A98" s="14" t="s">
        <v>884</v>
      </c>
    </row>
    <row r="99" customFormat="false" ht="15" hidden="false" customHeight="false" outlineLevel="0" collapsed="false">
      <c r="A99" s="14" t="s">
        <v>885</v>
      </c>
    </row>
    <row r="100" customFormat="false" ht="15" hidden="false" customHeight="false" outlineLevel="0" collapsed="false">
      <c r="A100" s="39" t="s">
        <v>886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62"/>
  </cols>
  <sheetData>
    <row r="1" customFormat="false" ht="19.4" hidden="false" customHeight="false" outlineLevel="0" collapsed="false">
      <c r="A1" s="1" t="s">
        <v>887</v>
      </c>
    </row>
    <row r="3" customFormat="false" ht="15" hidden="false" customHeight="false" outlineLevel="0" collapsed="false">
      <c r="A3" s="49" t="s">
        <v>888</v>
      </c>
    </row>
    <row r="5" customFormat="false" ht="15" hidden="false" customHeight="false" outlineLevel="0" collapsed="false">
      <c r="A5" s="3" t="s">
        <v>438</v>
      </c>
      <c r="B5" s="3" t="s">
        <v>889</v>
      </c>
      <c r="C5" s="3" t="s">
        <v>890</v>
      </c>
      <c r="D5" s="3" t="s">
        <v>891</v>
      </c>
    </row>
    <row r="6" customFormat="false" ht="64.9" hidden="false" customHeight="false" outlineLevel="0" collapsed="false">
      <c r="A6" s="8" t="s">
        <v>4</v>
      </c>
      <c r="B6" s="9" t="s">
        <v>892</v>
      </c>
      <c r="C6" s="10" t="s">
        <v>893</v>
      </c>
      <c r="D6" s="10" t="s">
        <v>894</v>
      </c>
    </row>
    <row r="7" customFormat="false" ht="63.4" hidden="false" customHeight="false" outlineLevel="0" collapsed="false">
      <c r="A7" s="8" t="s">
        <v>5</v>
      </c>
      <c r="B7" s="10" t="s">
        <v>895</v>
      </c>
      <c r="C7" s="10" t="s">
        <v>896</v>
      </c>
      <c r="D7" s="10" t="s">
        <v>894</v>
      </c>
    </row>
    <row r="8" customFormat="false" ht="52.2" hidden="false" customHeight="false" outlineLevel="0" collapsed="false">
      <c r="A8" s="8" t="s">
        <v>6</v>
      </c>
      <c r="B8" s="9" t="s">
        <v>897</v>
      </c>
      <c r="C8" s="10" t="s">
        <v>898</v>
      </c>
      <c r="D8" s="10" t="s">
        <v>894</v>
      </c>
    </row>
    <row r="9" customFormat="false" ht="52.2" hidden="false" customHeight="false" outlineLevel="0" collapsed="false">
      <c r="A9" s="8" t="s">
        <v>7</v>
      </c>
      <c r="B9" s="9" t="s">
        <v>899</v>
      </c>
      <c r="C9" s="9" t="s">
        <v>900</v>
      </c>
      <c r="D9" s="10" t="s">
        <v>894</v>
      </c>
    </row>
    <row r="10" customFormat="false" ht="39.55" hidden="false" customHeight="false" outlineLevel="0" collapsed="false">
      <c r="A10" s="8" t="s">
        <v>8</v>
      </c>
      <c r="B10" s="9" t="s">
        <v>901</v>
      </c>
      <c r="C10" s="9" t="s">
        <v>902</v>
      </c>
      <c r="D10" s="10" t="s">
        <v>894</v>
      </c>
    </row>
    <row r="11" customFormat="false" ht="52.2" hidden="false" customHeight="false" outlineLevel="0" collapsed="false">
      <c r="A11" s="8" t="s">
        <v>9</v>
      </c>
      <c r="B11" s="9" t="s">
        <v>903</v>
      </c>
      <c r="C11" s="9" t="s">
        <v>904</v>
      </c>
      <c r="D11" s="10" t="s">
        <v>894</v>
      </c>
    </row>
    <row r="12" customFormat="false" ht="50.7" hidden="false" customHeight="false" outlineLevel="0" collapsed="false">
      <c r="A12" s="8" t="s">
        <v>10</v>
      </c>
      <c r="B12" s="9" t="s">
        <v>905</v>
      </c>
      <c r="C12" s="9" t="s">
        <v>904</v>
      </c>
      <c r="D12" s="10" t="s">
        <v>894</v>
      </c>
    </row>
    <row r="13" customFormat="false" ht="102.95" hidden="false" customHeight="false" outlineLevel="0" collapsed="false">
      <c r="A13" s="8" t="s">
        <v>11</v>
      </c>
      <c r="B13" s="9" t="s">
        <v>906</v>
      </c>
      <c r="C13" s="10" t="s">
        <v>907</v>
      </c>
      <c r="D13" s="10" t="s">
        <v>894</v>
      </c>
    </row>
    <row r="14" customFormat="false" ht="39.55" hidden="false" customHeight="false" outlineLevel="0" collapsed="false">
      <c r="A14" s="8" t="s">
        <v>12</v>
      </c>
      <c r="B14" s="9" t="s">
        <v>908</v>
      </c>
      <c r="C14" s="9" t="s">
        <v>909</v>
      </c>
      <c r="D14" s="10" t="s">
        <v>894</v>
      </c>
    </row>
    <row r="15" customFormat="false" ht="26.85" hidden="false" customHeight="false" outlineLevel="0" collapsed="false">
      <c r="A15" s="8" t="s">
        <v>13</v>
      </c>
      <c r="B15" s="9" t="s">
        <v>910</v>
      </c>
      <c r="C15" s="9" t="s">
        <v>911</v>
      </c>
      <c r="D15" s="10" t="s">
        <v>894</v>
      </c>
    </row>
    <row r="16" customFormat="false" ht="77.6" hidden="false" customHeight="false" outlineLevel="0" collapsed="false">
      <c r="A16" s="8" t="s">
        <v>14</v>
      </c>
      <c r="B16" s="10" t="s">
        <v>912</v>
      </c>
      <c r="C16" s="9" t="s">
        <v>904</v>
      </c>
      <c r="D16" s="10" t="s">
        <v>894</v>
      </c>
    </row>
    <row r="17" customFormat="false" ht="90.25" hidden="false" customHeight="false" outlineLevel="0" collapsed="false">
      <c r="A17" s="8" t="s">
        <v>15</v>
      </c>
      <c r="B17" s="9" t="s">
        <v>913</v>
      </c>
      <c r="C17" s="9" t="s">
        <v>900</v>
      </c>
      <c r="D17" s="10" t="s">
        <v>894</v>
      </c>
    </row>
    <row r="18" customFormat="false" ht="39.55" hidden="false" customHeight="false" outlineLevel="0" collapsed="false">
      <c r="A18" s="8" t="s">
        <v>16</v>
      </c>
      <c r="B18" s="9" t="s">
        <v>914</v>
      </c>
      <c r="C18" s="9" t="s">
        <v>915</v>
      </c>
      <c r="D18" s="10" t="s">
        <v>894</v>
      </c>
    </row>
    <row r="19" customFormat="false" ht="39.55" hidden="false" customHeight="false" outlineLevel="0" collapsed="false">
      <c r="A19" s="8" t="s">
        <v>17</v>
      </c>
      <c r="B19" s="10" t="s">
        <v>916</v>
      </c>
      <c r="C19" s="9" t="s">
        <v>904</v>
      </c>
      <c r="D19" s="10" t="s">
        <v>894</v>
      </c>
    </row>
    <row r="20" customFormat="false" ht="15" hidden="false" customHeight="false" outlineLevel="0" collapsed="false">
      <c r="A20" s="8" t="s">
        <v>18</v>
      </c>
      <c r="B20" s="9" t="s">
        <v>917</v>
      </c>
      <c r="C20" s="9" t="s">
        <v>904</v>
      </c>
      <c r="D20" s="10" t="s">
        <v>894</v>
      </c>
    </row>
    <row r="21" customFormat="false" ht="15" hidden="false" customHeight="false" outlineLevel="0" collapsed="false">
      <c r="A21" s="8" t="s">
        <v>19</v>
      </c>
      <c r="B21" s="9" t="s">
        <v>918</v>
      </c>
      <c r="C21" s="9" t="s">
        <v>904</v>
      </c>
      <c r="D21" s="10" t="s">
        <v>894</v>
      </c>
    </row>
    <row r="22" customFormat="false" ht="26.85" hidden="false" customHeight="false" outlineLevel="0" collapsed="false">
      <c r="A22" s="8" t="s">
        <v>20</v>
      </c>
      <c r="B22" s="10" t="s">
        <v>919</v>
      </c>
      <c r="C22" s="9" t="s">
        <v>904</v>
      </c>
      <c r="D22" s="10" t="s">
        <v>894</v>
      </c>
    </row>
    <row r="24" customFormat="false" ht="15" hidden="false" customHeight="false" outlineLevel="0" collapsed="false">
      <c r="A24" s="49" t="s">
        <v>920</v>
      </c>
    </row>
    <row r="25" customFormat="false" ht="15" hidden="false" customHeight="false" outlineLevel="0" collapsed="false">
      <c r="A25" s="3" t="s">
        <v>921</v>
      </c>
      <c r="B25" s="3" t="s">
        <v>438</v>
      </c>
      <c r="C25" s="3" t="s">
        <v>613</v>
      </c>
      <c r="D25" s="3" t="s">
        <v>922</v>
      </c>
    </row>
    <row r="26" customFormat="false" ht="25.35" hidden="false" customHeight="false" outlineLevel="0" collapsed="false">
      <c r="A26" s="65" t="s">
        <v>923</v>
      </c>
      <c r="B26" s="65" t="s">
        <v>5</v>
      </c>
      <c r="C26" s="11" t="s">
        <v>924</v>
      </c>
      <c r="D26" s="11" t="s">
        <v>925</v>
      </c>
    </row>
    <row r="27" customFormat="false" ht="26.85" hidden="false" customHeight="false" outlineLevel="0" collapsed="false">
      <c r="A27" s="65" t="s">
        <v>923</v>
      </c>
      <c r="B27" s="65" t="s">
        <v>4</v>
      </c>
      <c r="C27" s="11" t="s">
        <v>926</v>
      </c>
      <c r="D27" s="11" t="s">
        <v>927</v>
      </c>
    </row>
    <row r="28" customFormat="false" ht="15" hidden="false" customHeight="false" outlineLevel="0" collapsed="false">
      <c r="A28" s="65" t="s">
        <v>928</v>
      </c>
      <c r="B28" s="65" t="s">
        <v>6</v>
      </c>
      <c r="C28" s="12" t="s">
        <v>929</v>
      </c>
      <c r="D28" s="12" t="s">
        <v>930</v>
      </c>
    </row>
    <row r="29" customFormat="false" ht="15" hidden="false" customHeight="false" outlineLevel="0" collapsed="false">
      <c r="A29" s="8" t="s">
        <v>931</v>
      </c>
      <c r="B29" s="8" t="s">
        <v>5</v>
      </c>
      <c r="C29" s="9" t="s">
        <v>932</v>
      </c>
      <c r="D29" s="9" t="s">
        <v>933</v>
      </c>
    </row>
    <row r="30" customFormat="false" ht="15" hidden="false" customHeight="false" outlineLevel="0" collapsed="false">
      <c r="A30" s="8" t="s">
        <v>931</v>
      </c>
      <c r="B30" s="8" t="s">
        <v>4</v>
      </c>
      <c r="C30" s="10" t="s">
        <v>934</v>
      </c>
      <c r="D30" s="9" t="s">
        <v>935</v>
      </c>
    </row>
    <row r="31" customFormat="false" ht="26.85" hidden="false" customHeight="false" outlineLevel="0" collapsed="false">
      <c r="A31" s="8" t="s">
        <v>936</v>
      </c>
      <c r="B31" s="8" t="s">
        <v>4</v>
      </c>
      <c r="C31" s="9" t="s">
        <v>937</v>
      </c>
      <c r="D31" s="9" t="s">
        <v>938</v>
      </c>
    </row>
    <row r="32" customFormat="false" ht="26.85" hidden="false" customHeight="false" outlineLevel="0" collapsed="false">
      <c r="A32" s="8" t="s">
        <v>936</v>
      </c>
      <c r="B32" s="8" t="s">
        <v>4</v>
      </c>
      <c r="C32" s="10" t="s">
        <v>939</v>
      </c>
      <c r="D32" s="9" t="s">
        <v>940</v>
      </c>
    </row>
    <row r="33" customFormat="false" ht="39.55" hidden="false" customHeight="false" outlineLevel="0" collapsed="false">
      <c r="A33" s="65" t="s">
        <v>923</v>
      </c>
      <c r="B33" s="65" t="s">
        <v>14</v>
      </c>
      <c r="C33" s="11" t="s">
        <v>941</v>
      </c>
      <c r="D33" s="11" t="s">
        <v>942</v>
      </c>
    </row>
    <row r="34" customFormat="false" ht="15" hidden="false" customHeight="false" outlineLevel="0" collapsed="false">
      <c r="A34" s="8" t="s">
        <v>943</v>
      </c>
      <c r="B34" s="8" t="s">
        <v>14</v>
      </c>
      <c r="C34" s="9" t="s">
        <v>944</v>
      </c>
      <c r="D34" s="9" t="s">
        <v>945</v>
      </c>
    </row>
    <row r="35" customFormat="false" ht="15" hidden="false" customHeight="false" outlineLevel="0" collapsed="false">
      <c r="A35" s="8" t="s">
        <v>936</v>
      </c>
      <c r="B35" s="8" t="s">
        <v>7</v>
      </c>
      <c r="C35" s="9" t="s">
        <v>946</v>
      </c>
      <c r="D35" s="10" t="s">
        <v>947</v>
      </c>
    </row>
    <row r="36" customFormat="false" ht="15" hidden="false" customHeight="false" outlineLevel="0" collapsed="false">
      <c r="A36" s="8" t="s">
        <v>948</v>
      </c>
      <c r="B36" s="8" t="s">
        <v>9</v>
      </c>
      <c r="C36" s="10" t="s">
        <v>949</v>
      </c>
      <c r="D36" s="9" t="s">
        <v>950</v>
      </c>
    </row>
    <row r="37" customFormat="false" ht="26.85" hidden="false" customHeight="false" outlineLevel="0" collapsed="false">
      <c r="A37" s="8" t="s">
        <v>943</v>
      </c>
      <c r="B37" s="8" t="s">
        <v>9</v>
      </c>
      <c r="C37" s="9" t="s">
        <v>951</v>
      </c>
      <c r="D37" s="9" t="s">
        <v>952</v>
      </c>
    </row>
    <row r="38" customFormat="false" ht="15" hidden="false" customHeight="false" outlineLevel="0" collapsed="false">
      <c r="A38" s="8" t="s">
        <v>943</v>
      </c>
      <c r="B38" s="8" t="s">
        <v>8</v>
      </c>
      <c r="C38" s="9" t="s">
        <v>953</v>
      </c>
      <c r="D38" s="9" t="s">
        <v>954</v>
      </c>
    </row>
    <row r="40" customFormat="false" ht="15" hidden="false" customHeight="false" outlineLevel="0" collapsed="false">
      <c r="A40" s="49" t="s">
        <v>955</v>
      </c>
    </row>
    <row r="41" customFormat="false" ht="15" hidden="false" customHeight="false" outlineLevel="0" collapsed="false">
      <c r="A41" s="3" t="s">
        <v>956</v>
      </c>
      <c r="B41" s="3" t="s">
        <v>438</v>
      </c>
      <c r="C41" s="3" t="s">
        <v>957</v>
      </c>
      <c r="D41" s="3" t="s">
        <v>958</v>
      </c>
    </row>
    <row r="42" customFormat="false" ht="26.85" hidden="false" customHeight="false" outlineLevel="0" collapsed="false">
      <c r="A42" s="41" t="s">
        <v>959</v>
      </c>
      <c r="B42" s="8" t="s">
        <v>5</v>
      </c>
      <c r="C42" s="10" t="s">
        <v>960</v>
      </c>
      <c r="D42" s="10" t="s">
        <v>961</v>
      </c>
    </row>
    <row r="43" customFormat="false" ht="15" hidden="false" customHeight="false" outlineLevel="0" collapsed="false">
      <c r="A43" s="41" t="s">
        <v>959</v>
      </c>
      <c r="B43" s="8" t="s">
        <v>7</v>
      </c>
      <c r="C43" s="9" t="s">
        <v>962</v>
      </c>
      <c r="D43" s="9" t="s">
        <v>963</v>
      </c>
    </row>
    <row r="44" customFormat="false" ht="15" hidden="false" customHeight="false" outlineLevel="0" collapsed="false">
      <c r="A44" s="41" t="s">
        <v>964</v>
      </c>
      <c r="B44" s="8" t="s">
        <v>4</v>
      </c>
      <c r="C44" s="9" t="s">
        <v>965</v>
      </c>
      <c r="D44" s="9" t="s">
        <v>966</v>
      </c>
    </row>
    <row r="45" customFormat="false" ht="15" hidden="false" customHeight="false" outlineLevel="0" collapsed="false">
      <c r="A45" s="41" t="s">
        <v>964</v>
      </c>
      <c r="B45" s="8" t="s">
        <v>5</v>
      </c>
      <c r="C45" s="9" t="s">
        <v>967</v>
      </c>
      <c r="D45" s="9" t="s">
        <v>968</v>
      </c>
    </row>
    <row r="46" customFormat="false" ht="15" hidden="false" customHeight="false" outlineLevel="0" collapsed="false">
      <c r="A46" s="41" t="s">
        <v>964</v>
      </c>
      <c r="B46" s="8" t="s">
        <v>6</v>
      </c>
      <c r="C46" s="9" t="s">
        <v>969</v>
      </c>
      <c r="D46" s="9" t="s">
        <v>966</v>
      </c>
    </row>
    <row r="47" customFormat="false" ht="15" hidden="false" customHeight="false" outlineLevel="0" collapsed="false">
      <c r="A47" s="41" t="s">
        <v>964</v>
      </c>
      <c r="B47" s="8" t="s">
        <v>7</v>
      </c>
      <c r="C47" s="9" t="s">
        <v>970</v>
      </c>
      <c r="D47" s="9" t="s">
        <v>971</v>
      </c>
    </row>
    <row r="48" customFormat="false" ht="15" hidden="false" customHeight="false" outlineLevel="0" collapsed="false">
      <c r="A48" s="41" t="s">
        <v>972</v>
      </c>
      <c r="B48" s="8" t="s">
        <v>5</v>
      </c>
      <c r="C48" s="9" t="s">
        <v>973</v>
      </c>
      <c r="D48" s="10" t="s">
        <v>974</v>
      </c>
    </row>
    <row r="49" customFormat="false" ht="15" hidden="false" customHeight="false" outlineLevel="0" collapsed="false">
      <c r="A49" s="41" t="s">
        <v>972</v>
      </c>
      <c r="B49" s="8" t="s">
        <v>6</v>
      </c>
      <c r="C49" s="9" t="s">
        <v>975</v>
      </c>
      <c r="D49" s="10" t="s">
        <v>976</v>
      </c>
    </row>
    <row r="50" customFormat="false" ht="15" hidden="false" customHeight="false" outlineLevel="0" collapsed="false">
      <c r="A50" s="41" t="s">
        <v>972</v>
      </c>
      <c r="B50" s="8" t="s">
        <v>4</v>
      </c>
      <c r="C50" s="9" t="s">
        <v>977</v>
      </c>
      <c r="D50" s="9" t="s">
        <v>978</v>
      </c>
    </row>
    <row r="51" customFormat="false" ht="15" hidden="false" customHeight="false" outlineLevel="0" collapsed="false">
      <c r="A51" s="41" t="s">
        <v>972</v>
      </c>
      <c r="B51" s="8" t="s">
        <v>7</v>
      </c>
      <c r="C51" s="9" t="s">
        <v>979</v>
      </c>
      <c r="D51" s="9" t="s">
        <v>980</v>
      </c>
    </row>
    <row r="52" customFormat="false" ht="15" hidden="false" customHeight="false" outlineLevel="0" collapsed="false">
      <c r="A52" s="41" t="s">
        <v>981</v>
      </c>
      <c r="B52" s="8" t="s">
        <v>4</v>
      </c>
      <c r="C52" s="9" t="s">
        <v>982</v>
      </c>
      <c r="D52" s="9" t="s">
        <v>983</v>
      </c>
    </row>
    <row r="53" customFormat="false" ht="15" hidden="false" customHeight="false" outlineLevel="0" collapsed="false">
      <c r="A53" s="41" t="s">
        <v>981</v>
      </c>
      <c r="B53" s="8" t="s">
        <v>7</v>
      </c>
      <c r="C53" s="9" t="s">
        <v>984</v>
      </c>
      <c r="D53" s="9" t="s">
        <v>985</v>
      </c>
    </row>
    <row r="54" customFormat="false" ht="15" hidden="false" customHeight="false" outlineLevel="0" collapsed="false">
      <c r="A54" s="41" t="s">
        <v>981</v>
      </c>
      <c r="B54" s="8" t="s">
        <v>986</v>
      </c>
      <c r="C54" s="9" t="s">
        <v>987</v>
      </c>
      <c r="D54" s="9" t="s">
        <v>988</v>
      </c>
    </row>
    <row r="55" customFormat="false" ht="26.85" hidden="false" customHeight="false" outlineLevel="0" collapsed="false">
      <c r="A55" s="41" t="s">
        <v>959</v>
      </c>
      <c r="B55" s="8" t="s">
        <v>8</v>
      </c>
      <c r="C55" s="9" t="s">
        <v>989</v>
      </c>
      <c r="D55" s="9" t="s">
        <v>990</v>
      </c>
    </row>
    <row r="56" customFormat="false" ht="15" hidden="false" customHeight="false" outlineLevel="0" collapsed="false">
      <c r="A56" s="41" t="s">
        <v>964</v>
      </c>
      <c r="B56" s="8" t="s">
        <v>8</v>
      </c>
      <c r="C56" s="9" t="s">
        <v>991</v>
      </c>
      <c r="D56" s="9" t="s">
        <v>992</v>
      </c>
    </row>
    <row r="57" customFormat="false" ht="15" hidden="false" customHeight="false" outlineLevel="0" collapsed="false">
      <c r="A57" s="41" t="s">
        <v>964</v>
      </c>
      <c r="B57" s="8" t="s">
        <v>9</v>
      </c>
      <c r="C57" s="9" t="s">
        <v>993</v>
      </c>
      <c r="D57" s="9" t="s">
        <v>994</v>
      </c>
    </row>
    <row r="58" customFormat="false" ht="15" hidden="false" customHeight="false" outlineLevel="0" collapsed="false">
      <c r="A58" s="41" t="s">
        <v>972</v>
      </c>
      <c r="B58" s="8" t="s">
        <v>9</v>
      </c>
      <c r="C58" s="9" t="s">
        <v>995</v>
      </c>
      <c r="D58" s="9" t="s">
        <v>996</v>
      </c>
    </row>
    <row r="59" customFormat="false" ht="15" hidden="false" customHeight="false" outlineLevel="0" collapsed="false">
      <c r="A59" s="41" t="s">
        <v>981</v>
      </c>
      <c r="B59" s="8" t="s">
        <v>9</v>
      </c>
      <c r="C59" s="9" t="s">
        <v>997</v>
      </c>
      <c r="D59" s="9" t="s">
        <v>998</v>
      </c>
    </row>
    <row r="60" customFormat="false" ht="26.85" hidden="false" customHeight="false" outlineLevel="0" collapsed="false">
      <c r="A60" s="41" t="s">
        <v>959</v>
      </c>
      <c r="B60" s="8" t="s">
        <v>10</v>
      </c>
      <c r="C60" s="10" t="s">
        <v>999</v>
      </c>
      <c r="D60" s="10" t="s">
        <v>1000</v>
      </c>
    </row>
    <row r="61" customFormat="false" ht="15" hidden="false" customHeight="false" outlineLevel="0" collapsed="false">
      <c r="A61" s="41" t="s">
        <v>964</v>
      </c>
      <c r="B61" s="8" t="s">
        <v>10</v>
      </c>
      <c r="C61" s="9" t="s">
        <v>1001</v>
      </c>
      <c r="D61" s="10" t="s">
        <v>1002</v>
      </c>
    </row>
    <row r="62" customFormat="false" ht="15" hidden="false" customHeight="false" outlineLevel="0" collapsed="false">
      <c r="A62" s="41" t="s">
        <v>972</v>
      </c>
      <c r="B62" s="8" t="s">
        <v>10</v>
      </c>
      <c r="C62" s="9" t="s">
        <v>1003</v>
      </c>
      <c r="D62" s="9" t="s">
        <v>1004</v>
      </c>
    </row>
    <row r="63" customFormat="false" ht="15" hidden="false" customHeight="false" outlineLevel="0" collapsed="false">
      <c r="A63" s="41" t="s">
        <v>959</v>
      </c>
      <c r="B63" s="8" t="s">
        <v>11</v>
      </c>
      <c r="C63" s="9" t="s">
        <v>1005</v>
      </c>
      <c r="D63" s="10" t="s">
        <v>1006</v>
      </c>
    </row>
    <row r="64" customFormat="false" ht="15" hidden="false" customHeight="false" outlineLevel="0" collapsed="false">
      <c r="A64" s="41" t="s">
        <v>964</v>
      </c>
      <c r="B64" s="8" t="s">
        <v>11</v>
      </c>
      <c r="C64" s="10" t="s">
        <v>1007</v>
      </c>
      <c r="D64" s="10" t="s">
        <v>1008</v>
      </c>
    </row>
    <row r="65" customFormat="false" ht="15" hidden="false" customHeight="false" outlineLevel="0" collapsed="false">
      <c r="A65" s="41" t="s">
        <v>964</v>
      </c>
      <c r="B65" s="8" t="s">
        <v>11</v>
      </c>
      <c r="C65" s="9" t="s">
        <v>1009</v>
      </c>
      <c r="D65" s="10" t="s">
        <v>1010</v>
      </c>
    </row>
    <row r="66" customFormat="false" ht="15" hidden="false" customHeight="false" outlineLevel="0" collapsed="false">
      <c r="A66" s="41" t="s">
        <v>972</v>
      </c>
      <c r="B66" s="8" t="s">
        <v>11</v>
      </c>
      <c r="C66" s="9" t="s">
        <v>1011</v>
      </c>
      <c r="D66" s="9" t="s">
        <v>1012</v>
      </c>
    </row>
    <row r="67" customFormat="false" ht="15" hidden="false" customHeight="false" outlineLevel="0" collapsed="false">
      <c r="A67" s="41" t="s">
        <v>981</v>
      </c>
      <c r="B67" s="8" t="s">
        <v>11</v>
      </c>
      <c r="C67" s="9" t="s">
        <v>1013</v>
      </c>
      <c r="D67" s="9" t="s">
        <v>1014</v>
      </c>
    </row>
    <row r="68" customFormat="false" ht="15" hidden="false" customHeight="false" outlineLevel="0" collapsed="false">
      <c r="A68" s="41" t="s">
        <v>964</v>
      </c>
      <c r="B68" s="8" t="s">
        <v>12</v>
      </c>
      <c r="C68" s="10" t="s">
        <v>1015</v>
      </c>
      <c r="D68" s="9" t="s">
        <v>1016</v>
      </c>
    </row>
    <row r="69" customFormat="false" ht="15" hidden="false" customHeight="false" outlineLevel="0" collapsed="false">
      <c r="A69" s="41" t="s">
        <v>972</v>
      </c>
      <c r="B69" s="8" t="s">
        <v>12</v>
      </c>
      <c r="C69" s="9" t="s">
        <v>1017</v>
      </c>
      <c r="D69" s="9" t="s">
        <v>1018</v>
      </c>
    </row>
    <row r="70" customFormat="false" ht="15" hidden="false" customHeight="false" outlineLevel="0" collapsed="false">
      <c r="A70" s="41" t="s">
        <v>981</v>
      </c>
      <c r="B70" s="8" t="s">
        <v>12</v>
      </c>
      <c r="C70" s="9" t="s">
        <v>1019</v>
      </c>
      <c r="D70" s="9" t="s">
        <v>1020</v>
      </c>
    </row>
    <row r="71" customFormat="false" ht="15" hidden="false" customHeight="false" outlineLevel="0" collapsed="false">
      <c r="A71" s="41" t="s">
        <v>959</v>
      </c>
      <c r="B71" s="8" t="s">
        <v>13</v>
      </c>
      <c r="C71" s="9" t="s">
        <v>1021</v>
      </c>
      <c r="D71" s="9" t="s">
        <v>1022</v>
      </c>
    </row>
    <row r="72" customFormat="false" ht="15" hidden="false" customHeight="false" outlineLevel="0" collapsed="false">
      <c r="A72" s="41" t="s">
        <v>964</v>
      </c>
      <c r="B72" s="8" t="s">
        <v>13</v>
      </c>
      <c r="C72" s="9" t="s">
        <v>1023</v>
      </c>
      <c r="D72" s="9" t="s">
        <v>1024</v>
      </c>
    </row>
    <row r="73" customFormat="false" ht="15" hidden="false" customHeight="false" outlineLevel="0" collapsed="false">
      <c r="A73" s="41" t="s">
        <v>972</v>
      </c>
      <c r="B73" s="8" t="s">
        <v>13</v>
      </c>
      <c r="C73" s="9" t="s">
        <v>1025</v>
      </c>
      <c r="D73" s="9" t="s">
        <v>1026</v>
      </c>
    </row>
    <row r="74" customFormat="false" ht="15" hidden="false" customHeight="false" outlineLevel="0" collapsed="false">
      <c r="A74" s="41" t="s">
        <v>972</v>
      </c>
      <c r="B74" s="8" t="s">
        <v>13</v>
      </c>
      <c r="C74" s="9" t="s">
        <v>1027</v>
      </c>
      <c r="D74" s="9" t="s">
        <v>1028</v>
      </c>
    </row>
    <row r="75" customFormat="false" ht="15" hidden="false" customHeight="false" outlineLevel="0" collapsed="false">
      <c r="A75" s="41" t="s">
        <v>959</v>
      </c>
      <c r="B75" s="8" t="s">
        <v>14</v>
      </c>
      <c r="C75" s="9" t="s">
        <v>1029</v>
      </c>
      <c r="D75" s="9" t="s">
        <v>1030</v>
      </c>
    </row>
    <row r="76" customFormat="false" ht="15" hidden="false" customHeight="false" outlineLevel="0" collapsed="false">
      <c r="A76" s="41" t="s">
        <v>964</v>
      </c>
      <c r="B76" s="8" t="s">
        <v>14</v>
      </c>
      <c r="C76" s="9" t="s">
        <v>1031</v>
      </c>
      <c r="D76" s="9" t="s">
        <v>1032</v>
      </c>
    </row>
    <row r="77" customFormat="false" ht="15" hidden="false" customHeight="false" outlineLevel="0" collapsed="false">
      <c r="A77" s="41" t="s">
        <v>972</v>
      </c>
      <c r="B77" s="8" t="s">
        <v>14</v>
      </c>
      <c r="C77" s="9" t="s">
        <v>1033</v>
      </c>
      <c r="D77" s="9" t="s">
        <v>1034</v>
      </c>
    </row>
    <row r="78" customFormat="false" ht="15" hidden="false" customHeight="false" outlineLevel="0" collapsed="false">
      <c r="A78" s="41" t="s">
        <v>972</v>
      </c>
      <c r="B78" s="8" t="s">
        <v>14</v>
      </c>
      <c r="C78" s="9" t="s">
        <v>1035</v>
      </c>
      <c r="D78" s="9" t="s">
        <v>1036</v>
      </c>
    </row>
    <row r="79" customFormat="false" ht="15" hidden="false" customHeight="false" outlineLevel="0" collapsed="false">
      <c r="A79" s="41" t="s">
        <v>959</v>
      </c>
      <c r="B79" s="8" t="s">
        <v>15</v>
      </c>
      <c r="C79" s="9" t="s">
        <v>1037</v>
      </c>
      <c r="D79" s="9" t="s">
        <v>1038</v>
      </c>
    </row>
    <row r="80" customFormat="false" ht="15" hidden="false" customHeight="false" outlineLevel="0" collapsed="false">
      <c r="A80" s="41" t="s">
        <v>964</v>
      </c>
      <c r="B80" s="8" t="s">
        <v>15</v>
      </c>
      <c r="C80" s="9" t="s">
        <v>1039</v>
      </c>
      <c r="D80" s="9" t="s">
        <v>1040</v>
      </c>
    </row>
    <row r="81" customFormat="false" ht="15" hidden="false" customHeight="false" outlineLevel="0" collapsed="false">
      <c r="A81" s="41" t="s">
        <v>972</v>
      </c>
      <c r="B81" s="8" t="s">
        <v>15</v>
      </c>
      <c r="C81" s="9" t="s">
        <v>1041</v>
      </c>
      <c r="D81" s="9" t="s">
        <v>1042</v>
      </c>
    </row>
    <row r="82" customFormat="false" ht="15" hidden="false" customHeight="false" outlineLevel="0" collapsed="false">
      <c r="A82" s="41" t="s">
        <v>972</v>
      </c>
      <c r="B82" s="8" t="s">
        <v>15</v>
      </c>
      <c r="C82" s="9" t="s">
        <v>1043</v>
      </c>
      <c r="D82" s="9" t="s">
        <v>1044</v>
      </c>
    </row>
    <row r="83" customFormat="false" ht="15" hidden="false" customHeight="false" outlineLevel="0" collapsed="false">
      <c r="A83" s="41" t="s">
        <v>981</v>
      </c>
      <c r="B83" s="8" t="s">
        <v>15</v>
      </c>
      <c r="C83" s="9" t="s">
        <v>1045</v>
      </c>
      <c r="D83" s="10" t="s">
        <v>366</v>
      </c>
    </row>
    <row r="84" customFormat="false" ht="15" hidden="false" customHeight="false" outlineLevel="0" collapsed="false">
      <c r="A84" s="41" t="s">
        <v>964</v>
      </c>
      <c r="B84" s="8" t="s">
        <v>16</v>
      </c>
      <c r="C84" s="9" t="s">
        <v>1046</v>
      </c>
      <c r="D84" s="9" t="s">
        <v>1047</v>
      </c>
    </row>
    <row r="85" customFormat="false" ht="15" hidden="false" customHeight="false" outlineLevel="0" collapsed="false">
      <c r="A85" s="41" t="s">
        <v>972</v>
      </c>
      <c r="B85" s="8" t="s">
        <v>16</v>
      </c>
      <c r="C85" s="9" t="s">
        <v>1048</v>
      </c>
      <c r="D85" s="9" t="s">
        <v>1049</v>
      </c>
    </row>
    <row r="86" customFormat="false" ht="15" hidden="false" customHeight="false" outlineLevel="0" collapsed="false">
      <c r="A86" s="41" t="s">
        <v>981</v>
      </c>
      <c r="B86" s="8" t="s">
        <v>16</v>
      </c>
      <c r="C86" s="9" t="s">
        <v>1050</v>
      </c>
      <c r="D86" s="9" t="s">
        <v>1051</v>
      </c>
    </row>
    <row r="87" customFormat="false" ht="15" hidden="false" customHeight="false" outlineLevel="0" collapsed="false">
      <c r="A87" s="41" t="s">
        <v>964</v>
      </c>
      <c r="B87" s="8" t="s">
        <v>17</v>
      </c>
      <c r="C87" s="9" t="s">
        <v>1052</v>
      </c>
      <c r="D87" s="9" t="s">
        <v>1053</v>
      </c>
    </row>
    <row r="88" customFormat="false" ht="15" hidden="false" customHeight="false" outlineLevel="0" collapsed="false">
      <c r="A88" s="41" t="s">
        <v>964</v>
      </c>
      <c r="B88" s="8" t="s">
        <v>17</v>
      </c>
      <c r="C88" s="9" t="s">
        <v>1054</v>
      </c>
      <c r="D88" s="9" t="s">
        <v>1055</v>
      </c>
    </row>
    <row r="89" customFormat="false" ht="15" hidden="false" customHeight="false" outlineLevel="0" collapsed="false">
      <c r="A89" s="41" t="s">
        <v>972</v>
      </c>
      <c r="B89" s="8" t="s">
        <v>17</v>
      </c>
      <c r="C89" s="9" t="s">
        <v>1056</v>
      </c>
      <c r="D89" s="9" t="s">
        <v>1057</v>
      </c>
    </row>
    <row r="90" customFormat="false" ht="15" hidden="false" customHeight="false" outlineLevel="0" collapsed="false">
      <c r="A90" s="41" t="s">
        <v>964</v>
      </c>
      <c r="B90" s="8" t="s">
        <v>18</v>
      </c>
      <c r="C90" s="10" t="s">
        <v>1058</v>
      </c>
      <c r="D90" s="10" t="s">
        <v>1059</v>
      </c>
    </row>
    <row r="91" customFormat="false" ht="15" hidden="false" customHeight="false" outlineLevel="0" collapsed="false">
      <c r="A91" s="41" t="s">
        <v>972</v>
      </c>
      <c r="B91" s="8" t="s">
        <v>18</v>
      </c>
      <c r="C91" s="9" t="s">
        <v>1060</v>
      </c>
      <c r="D91" s="10" t="s">
        <v>366</v>
      </c>
    </row>
    <row r="92" customFormat="false" ht="15" hidden="false" customHeight="false" outlineLevel="0" collapsed="false">
      <c r="A92" s="41" t="s">
        <v>964</v>
      </c>
      <c r="B92" s="8" t="s">
        <v>19</v>
      </c>
      <c r="C92" s="10" t="s">
        <v>1061</v>
      </c>
      <c r="D92" s="9" t="s">
        <v>1062</v>
      </c>
    </row>
    <row r="93" customFormat="false" ht="15" hidden="false" customHeight="false" outlineLevel="0" collapsed="false">
      <c r="A93" s="41" t="s">
        <v>972</v>
      </c>
      <c r="B93" s="8" t="s">
        <v>19</v>
      </c>
      <c r="C93" s="9" t="s">
        <v>1063</v>
      </c>
      <c r="D93" s="10" t="s">
        <v>366</v>
      </c>
    </row>
    <row r="94" customFormat="false" ht="15" hidden="false" customHeight="false" outlineLevel="0" collapsed="false">
      <c r="A94" s="41" t="s">
        <v>959</v>
      </c>
      <c r="B94" s="8" t="s">
        <v>20</v>
      </c>
      <c r="C94" s="9" t="s">
        <v>1064</v>
      </c>
      <c r="D94" s="10" t="s">
        <v>1065</v>
      </c>
    </row>
    <row r="95" customFormat="false" ht="15" hidden="false" customHeight="false" outlineLevel="0" collapsed="false">
      <c r="A95" s="41" t="s">
        <v>964</v>
      </c>
      <c r="B95" s="8" t="s">
        <v>20</v>
      </c>
      <c r="C95" s="9" t="s">
        <v>1066</v>
      </c>
      <c r="D95" s="10" t="s">
        <v>1067</v>
      </c>
    </row>
    <row r="96" customFormat="false" ht="26.85" hidden="false" customHeight="false" outlineLevel="0" collapsed="false">
      <c r="A96" s="41" t="s">
        <v>972</v>
      </c>
      <c r="B96" s="8" t="s">
        <v>20</v>
      </c>
      <c r="C96" s="9" t="s">
        <v>1068</v>
      </c>
      <c r="D96" s="10" t="s">
        <v>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34"/>
    <col collapsed="false" customWidth="true" hidden="false" outlineLevel="0" max="5" min="4" style="0" width="52"/>
  </cols>
  <sheetData>
    <row r="1" customFormat="false" ht="17.35" hidden="false" customHeight="false" outlineLevel="0" collapsed="false">
      <c r="A1" s="1" t="s">
        <v>1069</v>
      </c>
    </row>
    <row r="2" customFormat="false" ht="15" hidden="false" customHeight="false" outlineLevel="0" collapsed="false">
      <c r="A2" s="2" t="s">
        <v>1070</v>
      </c>
    </row>
    <row r="4" customFormat="false" ht="15" hidden="false" customHeight="false" outlineLevel="0" collapsed="false">
      <c r="A4" s="66" t="s">
        <v>1071</v>
      </c>
      <c r="B4" s="3" t="s">
        <v>182</v>
      </c>
      <c r="C4" s="3" t="s">
        <v>1072</v>
      </c>
      <c r="D4" s="3" t="s">
        <v>1073</v>
      </c>
      <c r="E4" s="3" t="s">
        <v>1074</v>
      </c>
    </row>
    <row r="5" customFormat="false" ht="39.55" hidden="false" customHeight="false" outlineLevel="0" collapsed="false">
      <c r="A5" s="59" t="n">
        <v>1</v>
      </c>
      <c r="B5" s="67" t="s">
        <v>441</v>
      </c>
      <c r="C5" s="9" t="s">
        <v>1075</v>
      </c>
      <c r="D5" s="9" t="s">
        <v>1076</v>
      </c>
      <c r="E5" s="10" t="s">
        <v>1077</v>
      </c>
    </row>
    <row r="6" customFormat="false" ht="26.85" hidden="false" customHeight="false" outlineLevel="0" collapsed="false">
      <c r="A6" s="59" t="n">
        <v>2</v>
      </c>
      <c r="B6" s="67" t="s">
        <v>441</v>
      </c>
      <c r="C6" s="9" t="s">
        <v>1078</v>
      </c>
      <c r="D6" s="10" t="s">
        <v>1079</v>
      </c>
      <c r="E6" s="10" t="s">
        <v>1080</v>
      </c>
    </row>
    <row r="7" customFormat="false" ht="26.85" hidden="false" customHeight="false" outlineLevel="0" collapsed="false">
      <c r="A7" s="59" t="n">
        <v>3</v>
      </c>
      <c r="B7" s="67" t="s">
        <v>441</v>
      </c>
      <c r="C7" s="9" t="s">
        <v>1081</v>
      </c>
      <c r="D7" s="9" t="s">
        <v>1082</v>
      </c>
      <c r="E7" s="9" t="s">
        <v>1083</v>
      </c>
    </row>
    <row r="8" customFormat="false" ht="26.85" hidden="false" customHeight="false" outlineLevel="0" collapsed="false">
      <c r="A8" s="59" t="n">
        <v>4</v>
      </c>
      <c r="B8" s="67" t="s">
        <v>441</v>
      </c>
      <c r="C8" s="9" t="s">
        <v>1084</v>
      </c>
      <c r="D8" s="10" t="s">
        <v>1085</v>
      </c>
      <c r="E8" s="9" t="s">
        <v>1086</v>
      </c>
    </row>
    <row r="9" customFormat="false" ht="26.85" hidden="false" customHeight="false" outlineLevel="0" collapsed="false">
      <c r="A9" s="59" t="n">
        <v>5</v>
      </c>
      <c r="B9" s="67" t="s">
        <v>441</v>
      </c>
      <c r="C9" s="9" t="s">
        <v>1087</v>
      </c>
      <c r="D9" s="9" t="s">
        <v>1088</v>
      </c>
      <c r="E9" s="9" t="s">
        <v>1089</v>
      </c>
    </row>
    <row r="10" customFormat="false" ht="26.85" hidden="false" customHeight="false" outlineLevel="0" collapsed="false">
      <c r="A10" s="59" t="n">
        <v>6</v>
      </c>
      <c r="B10" s="67" t="s">
        <v>441</v>
      </c>
      <c r="C10" s="9" t="s">
        <v>1090</v>
      </c>
      <c r="D10" s="9" t="s">
        <v>1091</v>
      </c>
      <c r="E10" s="9" t="s">
        <v>1092</v>
      </c>
    </row>
    <row r="11" customFormat="false" ht="26.85" hidden="false" customHeight="false" outlineLevel="0" collapsed="false">
      <c r="A11" s="59" t="n">
        <v>7</v>
      </c>
      <c r="B11" s="67" t="s">
        <v>441</v>
      </c>
      <c r="C11" s="9" t="s">
        <v>1093</v>
      </c>
      <c r="D11" s="9" t="s">
        <v>1094</v>
      </c>
      <c r="E11" s="9" t="s">
        <v>1095</v>
      </c>
    </row>
    <row r="12" customFormat="false" ht="39.55" hidden="false" customHeight="false" outlineLevel="0" collapsed="false">
      <c r="A12" s="59" t="n">
        <v>8</v>
      </c>
      <c r="B12" s="67" t="s">
        <v>441</v>
      </c>
      <c r="C12" s="9" t="s">
        <v>1096</v>
      </c>
      <c r="D12" s="9" t="s">
        <v>1097</v>
      </c>
      <c r="E12" s="9" t="s">
        <v>1098</v>
      </c>
    </row>
    <row r="13" customFormat="false" ht="26.85" hidden="false" customHeight="false" outlineLevel="0" collapsed="false">
      <c r="A13" s="59" t="n">
        <v>9</v>
      </c>
      <c r="B13" s="67" t="s">
        <v>1099</v>
      </c>
      <c r="C13" s="9" t="s">
        <v>1100</v>
      </c>
      <c r="D13" s="9" t="s">
        <v>1101</v>
      </c>
      <c r="E13" s="9" t="s">
        <v>1102</v>
      </c>
    </row>
    <row r="14" customFormat="false" ht="26.85" hidden="false" customHeight="false" outlineLevel="0" collapsed="false">
      <c r="A14" s="59" t="n">
        <v>10</v>
      </c>
      <c r="B14" s="67" t="s">
        <v>1099</v>
      </c>
      <c r="C14" s="9" t="s">
        <v>1103</v>
      </c>
      <c r="D14" s="9" t="s">
        <v>1104</v>
      </c>
      <c r="E14" s="9" t="s">
        <v>1105</v>
      </c>
    </row>
    <row r="15" customFormat="false" ht="26.85" hidden="false" customHeight="false" outlineLevel="0" collapsed="false">
      <c r="A15" s="59" t="n">
        <v>11</v>
      </c>
      <c r="B15" s="67" t="s">
        <v>1099</v>
      </c>
      <c r="C15" s="9" t="s">
        <v>1106</v>
      </c>
      <c r="D15" s="10" t="s">
        <v>1107</v>
      </c>
      <c r="E15" s="9" t="s">
        <v>1108</v>
      </c>
    </row>
    <row r="16" customFormat="false" ht="26.85" hidden="false" customHeight="false" outlineLevel="0" collapsed="false">
      <c r="A16" s="59" t="n">
        <v>12</v>
      </c>
      <c r="B16" s="67" t="s">
        <v>1099</v>
      </c>
      <c r="C16" s="10" t="s">
        <v>1109</v>
      </c>
      <c r="D16" s="9" t="s">
        <v>1110</v>
      </c>
      <c r="E16" s="9" t="s">
        <v>1111</v>
      </c>
    </row>
    <row r="17" customFormat="false" ht="26.85" hidden="false" customHeight="false" outlineLevel="0" collapsed="false">
      <c r="A17" s="59" t="n">
        <v>13</v>
      </c>
      <c r="B17" s="67" t="s">
        <v>1099</v>
      </c>
      <c r="C17" s="9" t="s">
        <v>1112</v>
      </c>
      <c r="D17" s="10" t="s">
        <v>1113</v>
      </c>
      <c r="E17" s="9" t="s">
        <v>1114</v>
      </c>
    </row>
    <row r="18" customFormat="false" ht="26.85" hidden="false" customHeight="false" outlineLevel="0" collapsed="false">
      <c r="A18" s="59" t="n">
        <v>14</v>
      </c>
      <c r="B18" s="67" t="s">
        <v>1115</v>
      </c>
      <c r="C18" s="9" t="s">
        <v>1116</v>
      </c>
      <c r="D18" s="9" t="s">
        <v>1117</v>
      </c>
      <c r="E18" s="9" t="s">
        <v>1118</v>
      </c>
    </row>
    <row r="19" customFormat="false" ht="39.55" hidden="false" customHeight="false" outlineLevel="0" collapsed="false">
      <c r="A19" s="59" t="n">
        <v>43</v>
      </c>
      <c r="B19" s="67" t="s">
        <v>1115</v>
      </c>
      <c r="C19" s="9" t="s">
        <v>1119</v>
      </c>
      <c r="D19" s="10" t="s">
        <v>1120</v>
      </c>
      <c r="E19" s="9" t="s">
        <v>1121</v>
      </c>
    </row>
    <row r="20" customFormat="false" ht="39.55" hidden="false" customHeight="false" outlineLevel="0" collapsed="false">
      <c r="A20" s="59" t="n">
        <v>44</v>
      </c>
      <c r="B20" s="67" t="s">
        <v>1115</v>
      </c>
      <c r="C20" s="9" t="s">
        <v>1122</v>
      </c>
      <c r="D20" s="10" t="s">
        <v>1123</v>
      </c>
      <c r="E20" s="9" t="s">
        <v>1124</v>
      </c>
    </row>
    <row r="21" customFormat="false" ht="26.85" hidden="false" customHeight="false" outlineLevel="0" collapsed="false">
      <c r="A21" s="59" t="n">
        <v>46</v>
      </c>
      <c r="B21" s="67" t="s">
        <v>1099</v>
      </c>
      <c r="C21" s="9" t="s">
        <v>1125</v>
      </c>
      <c r="D21" s="9" t="s">
        <v>1126</v>
      </c>
      <c r="E21" s="9" t="s">
        <v>1127</v>
      </c>
    </row>
    <row r="22" customFormat="false" ht="26.85" hidden="false" customHeight="false" outlineLevel="0" collapsed="false">
      <c r="A22" s="59" t="n">
        <v>47</v>
      </c>
      <c r="B22" s="67" t="s">
        <v>1115</v>
      </c>
      <c r="C22" s="9" t="s">
        <v>1128</v>
      </c>
      <c r="D22" s="10" t="s">
        <v>1129</v>
      </c>
      <c r="E22" s="9" t="s">
        <v>1130</v>
      </c>
    </row>
    <row r="23" customFormat="false" ht="39.55" hidden="false" customHeight="false" outlineLevel="0" collapsed="false">
      <c r="A23" s="59" t="n">
        <v>48</v>
      </c>
      <c r="B23" s="67" t="s">
        <v>1115</v>
      </c>
      <c r="C23" s="9" t="s">
        <v>1131</v>
      </c>
      <c r="D23" s="9" t="s">
        <v>1132</v>
      </c>
      <c r="E23" s="9" t="s">
        <v>1133</v>
      </c>
    </row>
    <row r="24" customFormat="false" ht="39.55" hidden="false" customHeight="false" outlineLevel="0" collapsed="false">
      <c r="A24" s="59" t="n">
        <v>45</v>
      </c>
      <c r="B24" s="67" t="s">
        <v>1099</v>
      </c>
      <c r="C24" s="9" t="s">
        <v>1134</v>
      </c>
      <c r="D24" s="9" t="s">
        <v>1135</v>
      </c>
      <c r="E24" s="9" t="s">
        <v>1136</v>
      </c>
    </row>
    <row r="25" customFormat="false" ht="39.55" hidden="false" customHeight="false" outlineLevel="0" collapsed="false">
      <c r="A25" s="59" t="n">
        <v>39</v>
      </c>
      <c r="B25" s="67" t="s">
        <v>441</v>
      </c>
      <c r="C25" s="9" t="s">
        <v>1137</v>
      </c>
      <c r="D25" s="9" t="s">
        <v>1138</v>
      </c>
      <c r="E25" s="9" t="s">
        <v>1139</v>
      </c>
    </row>
    <row r="26" customFormat="false" ht="39.55" hidden="false" customHeight="false" outlineLevel="0" collapsed="false">
      <c r="A26" s="59" t="n">
        <v>40</v>
      </c>
      <c r="B26" s="67" t="s">
        <v>441</v>
      </c>
      <c r="C26" s="9" t="s">
        <v>1140</v>
      </c>
      <c r="D26" s="9" t="s">
        <v>1141</v>
      </c>
      <c r="E26" s="9" t="s">
        <v>1142</v>
      </c>
    </row>
    <row r="27" customFormat="false" ht="39.55" hidden="false" customHeight="false" outlineLevel="0" collapsed="false">
      <c r="A27" s="59" t="n">
        <v>41</v>
      </c>
      <c r="B27" s="67" t="s">
        <v>1115</v>
      </c>
      <c r="C27" s="9" t="s">
        <v>1143</v>
      </c>
      <c r="D27" s="9" t="s">
        <v>1144</v>
      </c>
      <c r="E27" s="9" t="s">
        <v>1145</v>
      </c>
    </row>
    <row r="28" customFormat="false" ht="26.85" hidden="false" customHeight="false" outlineLevel="0" collapsed="false">
      <c r="A28" s="59" t="n">
        <v>42</v>
      </c>
      <c r="B28" s="67" t="s">
        <v>1099</v>
      </c>
      <c r="C28" s="9" t="s">
        <v>1146</v>
      </c>
      <c r="D28" s="9" t="s">
        <v>1147</v>
      </c>
      <c r="E28" s="9" t="s">
        <v>1148</v>
      </c>
    </row>
    <row r="29" customFormat="false" ht="39.55" hidden="false" customHeight="false" outlineLevel="0" collapsed="false">
      <c r="A29" s="59" t="n">
        <v>34</v>
      </c>
      <c r="B29" s="67" t="s">
        <v>1115</v>
      </c>
      <c r="C29" s="9" t="s">
        <v>1149</v>
      </c>
      <c r="D29" s="9" t="s">
        <v>1150</v>
      </c>
      <c r="E29" s="9" t="s">
        <v>1151</v>
      </c>
    </row>
    <row r="30" customFormat="false" ht="39.55" hidden="false" customHeight="false" outlineLevel="0" collapsed="false">
      <c r="A30" s="59" t="n">
        <v>35</v>
      </c>
      <c r="B30" s="67" t="s">
        <v>441</v>
      </c>
      <c r="C30" s="9" t="s">
        <v>1152</v>
      </c>
      <c r="D30" s="9" t="s">
        <v>1153</v>
      </c>
      <c r="E30" s="9" t="s">
        <v>1154</v>
      </c>
    </row>
    <row r="31" customFormat="false" ht="39.55" hidden="false" customHeight="false" outlineLevel="0" collapsed="false">
      <c r="A31" s="59" t="n">
        <v>36</v>
      </c>
      <c r="B31" s="67" t="s">
        <v>1115</v>
      </c>
      <c r="C31" s="9" t="s">
        <v>1155</v>
      </c>
      <c r="D31" s="9" t="s">
        <v>1156</v>
      </c>
      <c r="E31" s="9" t="s">
        <v>1157</v>
      </c>
    </row>
    <row r="32" customFormat="false" ht="39.55" hidden="false" customHeight="false" outlineLevel="0" collapsed="false">
      <c r="A32" s="59" t="n">
        <v>37</v>
      </c>
      <c r="B32" s="67" t="s">
        <v>1115</v>
      </c>
      <c r="C32" s="9" t="s">
        <v>1158</v>
      </c>
      <c r="D32" s="9" t="s">
        <v>1159</v>
      </c>
      <c r="E32" s="9" t="s">
        <v>1160</v>
      </c>
    </row>
    <row r="33" customFormat="false" ht="39.55" hidden="false" customHeight="false" outlineLevel="0" collapsed="false">
      <c r="A33" s="59" t="n">
        <v>38</v>
      </c>
      <c r="B33" s="67" t="s">
        <v>441</v>
      </c>
      <c r="C33" s="9" t="s">
        <v>1161</v>
      </c>
      <c r="D33" s="10" t="s">
        <v>1162</v>
      </c>
      <c r="E33" s="9" t="s">
        <v>1163</v>
      </c>
    </row>
    <row r="34" customFormat="false" ht="39.55" hidden="false" customHeight="false" outlineLevel="0" collapsed="false">
      <c r="A34" s="59" t="n">
        <v>31</v>
      </c>
      <c r="B34" s="67" t="s">
        <v>1099</v>
      </c>
      <c r="C34" s="9" t="s">
        <v>1164</v>
      </c>
      <c r="D34" s="10" t="s">
        <v>1165</v>
      </c>
      <c r="E34" s="9" t="s">
        <v>1166</v>
      </c>
    </row>
    <row r="35" customFormat="false" ht="39.55" hidden="false" customHeight="false" outlineLevel="0" collapsed="false">
      <c r="A35" s="59" t="n">
        <v>32</v>
      </c>
      <c r="B35" s="67" t="s">
        <v>1115</v>
      </c>
      <c r="C35" s="9" t="s">
        <v>1167</v>
      </c>
      <c r="D35" s="10" t="s">
        <v>1168</v>
      </c>
      <c r="E35" s="10" t="s">
        <v>1169</v>
      </c>
    </row>
    <row r="36" customFormat="false" ht="26.85" hidden="false" customHeight="false" outlineLevel="0" collapsed="false">
      <c r="A36" s="59" t="n">
        <v>33</v>
      </c>
      <c r="B36" s="67" t="s">
        <v>1099</v>
      </c>
      <c r="C36" s="9" t="s">
        <v>1170</v>
      </c>
      <c r="D36" s="9" t="s">
        <v>1171</v>
      </c>
      <c r="E36" s="9" t="s">
        <v>1172</v>
      </c>
    </row>
    <row r="37" customFormat="false" ht="39.55" hidden="false" customHeight="false" outlineLevel="0" collapsed="false">
      <c r="A37" s="59" t="n">
        <v>29</v>
      </c>
      <c r="B37" s="67" t="s">
        <v>1115</v>
      </c>
      <c r="C37" s="9" t="s">
        <v>1173</v>
      </c>
      <c r="D37" s="9" t="s">
        <v>1174</v>
      </c>
      <c r="E37" s="9" t="s">
        <v>1175</v>
      </c>
    </row>
    <row r="38" customFormat="false" ht="26.85" hidden="false" customHeight="false" outlineLevel="0" collapsed="false">
      <c r="A38" s="59" t="n">
        <v>30</v>
      </c>
      <c r="B38" s="67" t="s">
        <v>1099</v>
      </c>
      <c r="C38" s="9" t="s">
        <v>1176</v>
      </c>
      <c r="D38" s="9" t="s">
        <v>1177</v>
      </c>
      <c r="E38" s="9" t="s">
        <v>1178</v>
      </c>
    </row>
    <row r="39" customFormat="false" ht="38.05" hidden="false" customHeight="false" outlineLevel="0" collapsed="false">
      <c r="A39" s="59" t="n">
        <v>26</v>
      </c>
      <c r="B39" s="67" t="s">
        <v>1099</v>
      </c>
      <c r="C39" s="10" t="s">
        <v>1179</v>
      </c>
      <c r="D39" s="9" t="s">
        <v>1180</v>
      </c>
      <c r="E39" s="9" t="s">
        <v>1181</v>
      </c>
    </row>
    <row r="40" customFormat="false" ht="26.85" hidden="false" customHeight="false" outlineLevel="0" collapsed="false">
      <c r="A40" s="59" t="n">
        <v>27</v>
      </c>
      <c r="B40" s="67" t="s">
        <v>1099</v>
      </c>
      <c r="C40" s="9" t="s">
        <v>1182</v>
      </c>
      <c r="D40" s="9" t="s">
        <v>1183</v>
      </c>
      <c r="E40" s="9" t="s">
        <v>1184</v>
      </c>
    </row>
    <row r="41" customFormat="false" ht="26.85" hidden="false" customHeight="false" outlineLevel="0" collapsed="false">
      <c r="A41" s="59" t="n">
        <v>28</v>
      </c>
      <c r="B41" s="67" t="s">
        <v>1099</v>
      </c>
      <c r="C41" s="9" t="s">
        <v>1185</v>
      </c>
      <c r="D41" s="9" t="s">
        <v>1186</v>
      </c>
      <c r="E41" s="9" t="s">
        <v>1187</v>
      </c>
    </row>
    <row r="42" customFormat="false" ht="39.55" hidden="false" customHeight="false" outlineLevel="0" collapsed="false">
      <c r="A42" s="59" t="n">
        <v>22</v>
      </c>
      <c r="B42" s="67" t="s">
        <v>441</v>
      </c>
      <c r="C42" s="9" t="s">
        <v>1188</v>
      </c>
      <c r="D42" s="9" t="s">
        <v>1189</v>
      </c>
      <c r="E42" s="9" t="s">
        <v>1190</v>
      </c>
    </row>
    <row r="43" customFormat="false" ht="39.55" hidden="false" customHeight="false" outlineLevel="0" collapsed="false">
      <c r="A43" s="59" t="n">
        <v>23</v>
      </c>
      <c r="B43" s="67" t="s">
        <v>441</v>
      </c>
      <c r="C43" s="9" t="s">
        <v>1191</v>
      </c>
      <c r="D43" s="10" t="s">
        <v>1192</v>
      </c>
      <c r="E43" s="9" t="s">
        <v>1193</v>
      </c>
    </row>
    <row r="44" customFormat="false" ht="26.85" hidden="false" customHeight="false" outlineLevel="0" collapsed="false">
      <c r="A44" s="59" t="n">
        <v>24</v>
      </c>
      <c r="B44" s="67" t="s">
        <v>1099</v>
      </c>
      <c r="C44" s="9" t="s">
        <v>1194</v>
      </c>
      <c r="D44" s="9" t="s">
        <v>1195</v>
      </c>
      <c r="E44" s="9" t="s">
        <v>1196</v>
      </c>
    </row>
    <row r="45" customFormat="false" ht="39.55" hidden="false" customHeight="false" outlineLevel="0" collapsed="false">
      <c r="A45" s="59" t="n">
        <v>25</v>
      </c>
      <c r="B45" s="67" t="s">
        <v>1115</v>
      </c>
      <c r="C45" s="9" t="s">
        <v>1197</v>
      </c>
      <c r="D45" s="9" t="s">
        <v>1198</v>
      </c>
      <c r="E45" s="10" t="s">
        <v>1199</v>
      </c>
    </row>
    <row r="46" customFormat="false" ht="39.55" hidden="false" customHeight="false" outlineLevel="0" collapsed="false">
      <c r="A46" s="59" t="n">
        <v>20</v>
      </c>
      <c r="B46" s="67" t="s">
        <v>1099</v>
      </c>
      <c r="C46" s="9" t="s">
        <v>1200</v>
      </c>
      <c r="D46" s="9" t="s">
        <v>1201</v>
      </c>
      <c r="E46" s="9" t="s">
        <v>1202</v>
      </c>
    </row>
    <row r="47" customFormat="false" ht="26.85" hidden="false" customHeight="false" outlineLevel="0" collapsed="false">
      <c r="A47" s="59" t="n">
        <v>21</v>
      </c>
      <c r="B47" s="67" t="s">
        <v>1099</v>
      </c>
      <c r="C47" s="9" t="s">
        <v>1203</v>
      </c>
      <c r="D47" s="9" t="s">
        <v>1204</v>
      </c>
      <c r="E47" s="9" t="s">
        <v>1205</v>
      </c>
    </row>
    <row r="48" customFormat="false" ht="39.55" hidden="false" customHeight="false" outlineLevel="0" collapsed="false">
      <c r="A48" s="59" t="n">
        <v>16</v>
      </c>
      <c r="B48" s="67" t="s">
        <v>1115</v>
      </c>
      <c r="C48" s="9" t="s">
        <v>1206</v>
      </c>
      <c r="D48" s="9" t="s">
        <v>1207</v>
      </c>
      <c r="E48" s="9" t="s">
        <v>1208</v>
      </c>
    </row>
    <row r="49" customFormat="false" ht="39.55" hidden="false" customHeight="false" outlineLevel="0" collapsed="false">
      <c r="A49" s="59" t="n">
        <v>17</v>
      </c>
      <c r="B49" s="67" t="s">
        <v>1099</v>
      </c>
      <c r="C49" s="9" t="s">
        <v>1209</v>
      </c>
      <c r="D49" s="9" t="s">
        <v>1210</v>
      </c>
      <c r="E49" s="9" t="s">
        <v>1211</v>
      </c>
    </row>
    <row r="50" customFormat="false" ht="39.55" hidden="false" customHeight="false" outlineLevel="0" collapsed="false">
      <c r="A50" s="59" t="n">
        <v>18</v>
      </c>
      <c r="B50" s="67" t="s">
        <v>441</v>
      </c>
      <c r="C50" s="9" t="s">
        <v>1212</v>
      </c>
      <c r="D50" s="9" t="s">
        <v>1213</v>
      </c>
      <c r="E50" s="9" t="s">
        <v>1214</v>
      </c>
    </row>
    <row r="51" customFormat="false" ht="26.85" hidden="false" customHeight="false" outlineLevel="0" collapsed="false">
      <c r="A51" s="59" t="n">
        <v>19</v>
      </c>
      <c r="B51" s="67" t="s">
        <v>1115</v>
      </c>
      <c r="C51" s="9" t="s">
        <v>1215</v>
      </c>
      <c r="D51" s="9" t="s">
        <v>1216</v>
      </c>
      <c r="E51" s="9" t="s">
        <v>1217</v>
      </c>
    </row>
    <row r="52" customFormat="false" ht="39.55" hidden="false" customHeight="false" outlineLevel="0" collapsed="false">
      <c r="A52" s="59" t="n">
        <v>15</v>
      </c>
      <c r="B52" s="67" t="s">
        <v>1115</v>
      </c>
      <c r="C52" s="9" t="s">
        <v>1218</v>
      </c>
      <c r="D52" s="9" t="s">
        <v>1219</v>
      </c>
      <c r="E52" s="9" t="s">
        <v>1220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2026-08-19T15:01:30Z</dcterms:created>
  <dc:creator>openpyxl</dc:creator>
  <dc:description/>
  <dc:language>en-US</dc:language>
  <cp:lastModifiedBy/>
  <dcterms:modified xsi:type="dcterms:W3CDTF">2026-08-19T15:01:30Z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